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AMPLE Monthly Profit &amp;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5" pivotButton="0" quotePrefix="0" xfId="0"/>
    <xf numFmtId="0" fontId="17" fillId="1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rs.gov/pub/irs-pdf/f843.pdf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1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150" min="1" max="1"/>
    <col width="43.43" customWidth="1" style="150" min="2" max="2"/>
    <col width="4.29" customWidth="1" style="150" min="16" max="16"/>
  </cols>
  <sheetData>
    <row r="1">
      <c r="B1" s="1" t="inlineStr">
        <is>
          <t>Monthly Profit and Loss Statement Template Example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n"/>
      <c r="B2" s="151" t="inlineStr">
        <is>
          <t>COMPANY NAME</t>
        </is>
      </c>
      <c r="C2" s="152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</row>
    <row r="3">
      <c r="A3" s="8" t="n"/>
      <c r="B3" s="153" t="inlineStr">
        <is>
          <t>Charley Forey</t>
        </is>
      </c>
      <c r="C3" s="154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>
      <c r="A4" s="78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</row>
    <row r="5">
      <c r="A5" s="3" t="n"/>
      <c r="B5" s="151" t="inlineStr">
        <is>
          <t>TIME PERIOD REPRESENTED</t>
        </is>
      </c>
      <c r="C5" s="152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8" t="n"/>
      <c r="B6" s="153" t="inlineStr">
        <is>
          <t>2026 Projection</t>
        </is>
      </c>
      <c r="C6" s="15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</row>
    <row r="7">
      <c r="A7" s="78" t="n"/>
      <c r="B7" s="145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</row>
    <row r="8">
      <c r="A8" s="8" t="n"/>
      <c r="B8" s="12" t="n"/>
      <c r="C8" s="15" t="inlineStr">
        <is>
          <t>TREND</t>
        </is>
      </c>
      <c r="D8" s="15" t="inlineStr">
        <is>
          <t>JANUARY</t>
        </is>
      </c>
      <c r="E8" s="15" t="inlineStr">
        <is>
          <t>FEBRUARY</t>
        </is>
      </c>
      <c r="F8" s="15" t="inlineStr">
        <is>
          <t>MARCH</t>
        </is>
      </c>
      <c r="G8" s="15" t="inlineStr">
        <is>
          <t>APRIL</t>
        </is>
      </c>
      <c r="H8" s="15" t="inlineStr">
        <is>
          <t>MAY</t>
        </is>
      </c>
      <c r="I8" s="15" t="inlineStr">
        <is>
          <t>JUNE</t>
        </is>
      </c>
      <c r="J8" s="15" t="inlineStr">
        <is>
          <t>JULY</t>
        </is>
      </c>
      <c r="K8" s="15" t="inlineStr">
        <is>
          <t>AUGUST</t>
        </is>
      </c>
      <c r="L8" s="15" t="inlineStr">
        <is>
          <t>SEPTEMBER</t>
        </is>
      </c>
      <c r="M8" s="15" t="inlineStr">
        <is>
          <t>OCTOBER</t>
        </is>
      </c>
      <c r="N8" s="15" t="inlineStr">
        <is>
          <t>NOVEMBER</t>
        </is>
      </c>
      <c r="O8" s="15" t="inlineStr">
        <is>
          <t>DECEMBER</t>
        </is>
      </c>
      <c r="P8" s="11" t="n"/>
      <c r="Q8" s="15" t="inlineStr">
        <is>
          <t>YTD</t>
        </is>
      </c>
    </row>
    <row r="9">
      <c r="A9" s="78" t="n"/>
      <c r="B9" s="16" t="inlineStr">
        <is>
          <t>NET PROFIT</t>
        </is>
      </c>
      <c r="C9" s="17" t="n"/>
      <c r="D9" s="18">
        <f>D38</f>
        <v/>
      </c>
      <c r="E9" s="18">
        <f>E38</f>
        <v/>
      </c>
      <c r="F9" s="18">
        <f>F38</f>
        <v/>
      </c>
      <c r="G9" s="18">
        <f>G38</f>
        <v/>
      </c>
      <c r="H9" s="18">
        <f>H38</f>
        <v/>
      </c>
      <c r="I9" s="18">
        <f>I38</f>
        <v/>
      </c>
      <c r="J9" s="18">
        <f>J38</f>
        <v/>
      </c>
      <c r="K9" s="18">
        <f>K38</f>
        <v/>
      </c>
      <c r="L9" s="18">
        <f>L38</f>
        <v/>
      </c>
      <c r="M9" s="18">
        <f>M38</f>
        <v/>
      </c>
      <c r="N9" s="18">
        <f>N38</f>
        <v/>
      </c>
      <c r="O9" s="18">
        <f>O38</f>
        <v/>
      </c>
      <c r="P9" s="19" t="n"/>
      <c r="Q9" s="18">
        <f>SUM(D9:O9)</f>
        <v/>
      </c>
    </row>
    <row r="10">
      <c r="A10" s="78" t="n"/>
      <c r="B10" s="16" t="inlineStr">
        <is>
          <t>TOTAL EXPENSES</t>
        </is>
      </c>
      <c r="C10" s="20" t="n"/>
      <c r="D10" s="21">
        <f>D95</f>
        <v/>
      </c>
      <c r="E10" s="21">
        <f>E95</f>
        <v/>
      </c>
      <c r="F10" s="21">
        <f>F95</f>
        <v/>
      </c>
      <c r="G10" s="21">
        <f>G95</f>
        <v/>
      </c>
      <c r="H10" s="21">
        <f>H95</f>
        <v/>
      </c>
      <c r="I10" s="21">
        <f>I95</f>
        <v/>
      </c>
      <c r="J10" s="21">
        <f>J95</f>
        <v/>
      </c>
      <c r="K10" s="21">
        <f>K95</f>
        <v/>
      </c>
      <c r="L10" s="21">
        <f>L95</f>
        <v/>
      </c>
      <c r="M10" s="21">
        <f>M95</f>
        <v/>
      </c>
      <c r="N10" s="21">
        <f>N95</f>
        <v/>
      </c>
      <c r="O10" s="21">
        <f>O95</f>
        <v/>
      </c>
      <c r="P10" s="78" t="n"/>
      <c r="Q10" s="21">
        <f>SUM(D10:O10)</f>
        <v/>
      </c>
    </row>
    <row r="11">
      <c r="A11" s="78" t="n"/>
      <c r="B11" s="16" t="inlineStr">
        <is>
          <t>PROFIT / LOSS</t>
        </is>
      </c>
      <c r="C11" s="22" t="n"/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H9-H10</f>
        <v/>
      </c>
      <c r="I11" s="23">
        <f>I9-I10</f>
        <v/>
      </c>
      <c r="J11" s="23">
        <f>J9-J10</f>
        <v/>
      </c>
      <c r="K11" s="23">
        <f>K9-K10</f>
        <v/>
      </c>
      <c r="L11" s="23">
        <f>L9-L10</f>
        <v/>
      </c>
      <c r="M11" s="23">
        <f>M9-M10</f>
        <v/>
      </c>
      <c r="N11" s="23">
        <f>N9-N10</f>
        <v/>
      </c>
      <c r="O11" s="23">
        <f>O9-O10</f>
        <v/>
      </c>
      <c r="P11" s="19" t="n"/>
      <c r="Q11" s="23">
        <f>Q9-Q10</f>
        <v/>
      </c>
    </row>
    <row r="12">
      <c r="A12" s="78" t="n"/>
      <c r="B12" s="78" t="n"/>
      <c r="C12" s="19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19" t="n"/>
      <c r="Q12" s="78" t="n"/>
    </row>
    <row r="13">
      <c r="A13" s="146" t="n"/>
      <c r="B13" s="147" t="n"/>
      <c r="C13" s="148" t="n"/>
      <c r="D13" s="148" t="n"/>
      <c r="E13" s="148" t="n"/>
      <c r="F13" s="148" t="n"/>
      <c r="G13" s="148" t="n"/>
      <c r="H13" s="148" t="n"/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</row>
    <row r="14">
      <c r="A14" s="8" t="n"/>
      <c r="B14" s="24" t="inlineStr">
        <is>
          <t>REVENUE</t>
        </is>
      </c>
      <c r="C14" s="15" t="inlineStr">
        <is>
          <t>TREND</t>
        </is>
      </c>
      <c r="D14" s="25" t="inlineStr">
        <is>
          <t>JANUARY</t>
        </is>
      </c>
      <c r="E14" s="25" t="inlineStr">
        <is>
          <t>FEBRUARY</t>
        </is>
      </c>
      <c r="F14" s="25" t="inlineStr">
        <is>
          <t>MARCH</t>
        </is>
      </c>
      <c r="G14" s="25" t="inlineStr">
        <is>
          <t>APRIL</t>
        </is>
      </c>
      <c r="H14" s="25" t="inlineStr">
        <is>
          <t>MAY</t>
        </is>
      </c>
      <c r="I14" s="25" t="inlineStr">
        <is>
          <t>JUNE</t>
        </is>
      </c>
      <c r="J14" s="25" t="inlineStr">
        <is>
          <t>JULY</t>
        </is>
      </c>
      <c r="K14" s="25" t="inlineStr">
        <is>
          <t>AUGUST</t>
        </is>
      </c>
      <c r="L14" s="25" t="inlineStr">
        <is>
          <t>SEPTEMBER</t>
        </is>
      </c>
      <c r="M14" s="25" t="inlineStr">
        <is>
          <t>OCTOBER</t>
        </is>
      </c>
      <c r="N14" s="25" t="inlineStr">
        <is>
          <t>NOVEMBER</t>
        </is>
      </c>
      <c r="O14" s="25" t="inlineStr">
        <is>
          <t>DECEMBER</t>
        </is>
      </c>
      <c r="P14" s="11" t="n"/>
      <c r="Q14" s="25" t="inlineStr">
        <is>
          <t>YTD</t>
        </is>
      </c>
    </row>
    <row r="15">
      <c r="A15" s="78" t="n"/>
      <c r="B15" s="31" t="inlineStr">
        <is>
          <t>Trimble</t>
        </is>
      </c>
      <c r="C15" s="27" t="n"/>
      <c r="D15" s="29" t="n">
        <v>10833.33</v>
      </c>
      <c r="E15" s="29" t="n">
        <v>10833.33</v>
      </c>
      <c r="F15" s="29" t="n">
        <v>10833.33</v>
      </c>
      <c r="G15" s="29" t="n">
        <v>10833.33</v>
      </c>
      <c r="H15" s="29" t="n">
        <v>10833.33</v>
      </c>
      <c r="I15" s="29" t="n">
        <v>10833.33</v>
      </c>
      <c r="J15" s="29" t="n">
        <v>10833.33</v>
      </c>
      <c r="K15" s="29" t="n">
        <v>10833.33</v>
      </c>
      <c r="L15" s="29" t="n">
        <v>10833.33</v>
      </c>
      <c r="M15" s="29" t="n">
        <v>10833.33</v>
      </c>
      <c r="N15" s="29" t="n">
        <v>10833.33</v>
      </c>
      <c r="O15" s="29" t="n">
        <v>10833.33</v>
      </c>
      <c r="P15" s="19" t="n"/>
      <c r="Q15" s="29">
        <f>SUM(D15:O15)</f>
        <v/>
      </c>
    </row>
    <row r="16">
      <c r="A16" s="78" t="n"/>
      <c r="B16" s="31" t="inlineStr">
        <is>
          <t>Bonus</t>
        </is>
      </c>
      <c r="C16" s="27" t="n"/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3000</v>
      </c>
      <c r="P16" s="19" t="n"/>
      <c r="Q16" s="29">
        <f>SUM(D16:O16)</f>
        <v/>
      </c>
    </row>
    <row r="17">
      <c r="A17" s="78" t="n"/>
      <c r="B17" s="31" t="inlineStr">
        <is>
          <t>Pal &amp; Gal</t>
        </is>
      </c>
      <c r="C17" s="27" t="n"/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19" t="n"/>
      <c r="Q17" s="29">
        <f>SUM(D17:O17)</f>
        <v/>
      </c>
    </row>
    <row r="18">
      <c r="A18" s="78" t="n"/>
      <c r="B18" s="31" t="inlineStr">
        <is>
          <t>Construct.Chat</t>
        </is>
      </c>
      <c r="C18" s="27" t="n"/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19" t="n"/>
      <c r="Q18" s="29">
        <f>SUM(D18:O18)</f>
        <v/>
      </c>
    </row>
    <row r="19">
      <c r="A19" s="78" t="n"/>
      <c r="B19" s="31" t="inlineStr">
        <is>
          <t>Other</t>
        </is>
      </c>
      <c r="C19" s="27" t="n"/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19" t="n"/>
      <c r="Q19" s="29">
        <f>SUM(D19:O19)</f>
        <v/>
      </c>
    </row>
    <row r="20">
      <c r="A20" s="78" t="n"/>
      <c r="B20" s="16" t="inlineStr">
        <is>
          <t>TOTAL REVENUE</t>
        </is>
      </c>
      <c r="C20" s="17" t="n"/>
      <c r="D20" s="18">
        <f>SUM(D15:D19)</f>
        <v/>
      </c>
      <c r="E20" s="18">
        <f>SUM(E15:E19)</f>
        <v/>
      </c>
      <c r="F20" s="18">
        <f>SUM(F15:F19)</f>
        <v/>
      </c>
      <c r="G20" s="18">
        <f>SUM(G15:G19)</f>
        <v/>
      </c>
      <c r="H20" s="18">
        <f>SUM(H15:H19)</f>
        <v/>
      </c>
      <c r="I20" s="18">
        <f>SUM(I15:I19)</f>
        <v/>
      </c>
      <c r="J20" s="18">
        <f>SUM(J15:J19)</f>
        <v/>
      </c>
      <c r="K20" s="18">
        <f>SUM(K15:K19)</f>
        <v/>
      </c>
      <c r="L20" s="18">
        <f>SUM(L15:L19)</f>
        <v/>
      </c>
      <c r="M20" s="18">
        <f>SUM(M15:M19)</f>
        <v/>
      </c>
      <c r="N20" s="18">
        <f>SUM(N15:N19)</f>
        <v/>
      </c>
      <c r="O20" s="18">
        <f>SUM(O15:O19)</f>
        <v/>
      </c>
      <c r="P20" s="19" t="n"/>
      <c r="Q20" s="18">
        <f>SUM(Q15:Q19)</f>
        <v/>
      </c>
    </row>
    <row r="21">
      <c r="A21" s="78" t="n"/>
      <c r="B21" s="78" t="n"/>
      <c r="C21" s="19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19" t="n"/>
      <c r="Q21" s="78" t="n"/>
    </row>
    <row r="22">
      <c r="A22" s="78" t="n"/>
      <c r="B22" s="24" t="inlineStr">
        <is>
          <t>COST OF GOODS SOLD (COGS)</t>
        </is>
      </c>
      <c r="C22" s="15" t="inlineStr">
        <is>
          <t>TREND</t>
        </is>
      </c>
      <c r="D22" s="15" t="inlineStr">
        <is>
          <t>JANUARY</t>
        </is>
      </c>
      <c r="E22" s="15" t="inlineStr">
        <is>
          <t>FEBRUARY</t>
        </is>
      </c>
      <c r="F22" s="15" t="inlineStr">
        <is>
          <t>MARCH</t>
        </is>
      </c>
      <c r="G22" s="15" t="inlineStr">
        <is>
          <t>APRIL</t>
        </is>
      </c>
      <c r="H22" s="15" t="inlineStr">
        <is>
          <t>MAY</t>
        </is>
      </c>
      <c r="I22" s="15" t="inlineStr">
        <is>
          <t>JUNE</t>
        </is>
      </c>
      <c r="J22" s="15" t="inlineStr">
        <is>
          <t>JULY</t>
        </is>
      </c>
      <c r="K22" s="15" t="inlineStr">
        <is>
          <t>AUGUST</t>
        </is>
      </c>
      <c r="L22" s="15" t="inlineStr">
        <is>
          <t>SEPTEMBER</t>
        </is>
      </c>
      <c r="M22" s="15" t="inlineStr">
        <is>
          <t>OCTOBER</t>
        </is>
      </c>
      <c r="N22" s="15" t="inlineStr">
        <is>
          <t>NOVEMBER</t>
        </is>
      </c>
      <c r="O22" s="15" t="inlineStr">
        <is>
          <t>DECEMBER</t>
        </is>
      </c>
      <c r="P22" s="19" t="n"/>
      <c r="Q22" s="25" t="inlineStr">
        <is>
          <t>YTD</t>
        </is>
      </c>
    </row>
    <row r="23">
      <c r="A23" s="30" t="n"/>
      <c r="B23" s="31" t="inlineStr">
        <is>
          <t>Inventory Purchases</t>
        </is>
      </c>
      <c r="C23" s="27" t="n"/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19" t="n"/>
      <c r="Q23" s="33">
        <f>SUM(D23:O23)</f>
        <v/>
      </c>
    </row>
    <row r="24">
      <c r="A24" s="78" t="n"/>
      <c r="B24" s="31" t="inlineStr">
        <is>
          <t>Manufacturing Costs</t>
        </is>
      </c>
      <c r="C24" s="27" t="n"/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4" t="n"/>
      <c r="Q24" s="33">
        <f>SUM(D24:O24)</f>
        <v/>
      </c>
    </row>
    <row r="25">
      <c r="A25" s="78" t="n"/>
      <c r="B25" s="31" t="inlineStr">
        <is>
          <t>Shipping and Freight</t>
        </is>
      </c>
      <c r="C25" s="27" t="n"/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4" t="n"/>
      <c r="Q25" s="33">
        <f>SUM(D25:O25)</f>
        <v/>
      </c>
    </row>
    <row r="26">
      <c r="A26" s="78" t="n"/>
      <c r="B26" s="31" t="inlineStr">
        <is>
          <t>Warehouse Costs</t>
        </is>
      </c>
      <c r="C26" s="27" t="n"/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4" t="n"/>
      <c r="Q26" s="33">
        <f>SUM(D26:O26)</f>
        <v/>
      </c>
    </row>
    <row r="27">
      <c r="A27" s="3" t="n"/>
      <c r="B27" s="31" t="inlineStr">
        <is>
          <t>Other</t>
        </is>
      </c>
      <c r="C27" s="27" t="n"/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4" t="n"/>
      <c r="Q27" s="33">
        <f>SUM(D27:O27)</f>
        <v/>
      </c>
    </row>
    <row r="28">
      <c r="A28" s="78" t="n"/>
      <c r="B28" s="16" t="inlineStr">
        <is>
          <t>TOTAL COGS</t>
        </is>
      </c>
      <c r="C28" s="17" t="n"/>
      <c r="D28" s="18">
        <f>SUM(D23:D27)</f>
        <v/>
      </c>
      <c r="E28" s="18">
        <f>SUM(E23:E27)</f>
        <v/>
      </c>
      <c r="F28" s="18">
        <f>SUM(F23:F27)</f>
        <v/>
      </c>
      <c r="G28" s="18">
        <f>SUM(G23:G27)</f>
        <v/>
      </c>
      <c r="H28" s="18">
        <f>SUM(H23:H27)</f>
        <v/>
      </c>
      <c r="I28" s="18">
        <f>SUM(I23:I27)</f>
        <v/>
      </c>
      <c r="J28" s="18">
        <f>SUM(J23:J27)</f>
        <v/>
      </c>
      <c r="K28" s="18">
        <f>SUM(K23:K27)</f>
        <v/>
      </c>
      <c r="L28" s="18">
        <f>SUM(L23:L27)</f>
        <v/>
      </c>
      <c r="M28" s="18">
        <f>SUM(M23:M27)</f>
        <v/>
      </c>
      <c r="N28" s="18">
        <f>SUM(N23:N27)</f>
        <v/>
      </c>
      <c r="O28" s="18">
        <f>SUM(O23:O27)</f>
        <v/>
      </c>
      <c r="P28" s="19" t="n"/>
      <c r="Q28" s="18">
        <f>SUM(Q23:Q27)</f>
        <v/>
      </c>
    </row>
    <row r="29">
      <c r="A29" s="78" t="n"/>
      <c r="B29" s="78" t="n"/>
      <c r="C29" s="19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19" t="n"/>
      <c r="Q29" s="78" t="n"/>
    </row>
    <row r="30">
      <c r="A30" s="78" t="n"/>
      <c r="B30" s="16" t="inlineStr">
        <is>
          <t>GROSS PROFIT</t>
        </is>
      </c>
      <c r="C30" s="17" t="n"/>
      <c r="D30" s="18">
        <f>D20-D28</f>
        <v/>
      </c>
      <c r="E30" s="18">
        <f>E20-E28</f>
        <v/>
      </c>
      <c r="F30" s="18">
        <f>F20-F28</f>
        <v/>
      </c>
      <c r="G30" s="18">
        <f>G20-G28</f>
        <v/>
      </c>
      <c r="H30" s="18">
        <f>H20-H28</f>
        <v/>
      </c>
      <c r="I30" s="18">
        <f>I20-I28</f>
        <v/>
      </c>
      <c r="J30" s="18">
        <f>J20-J28</f>
        <v/>
      </c>
      <c r="K30" s="18">
        <f>K20-K28</f>
        <v/>
      </c>
      <c r="L30" s="18">
        <f>L20-L28</f>
        <v/>
      </c>
      <c r="M30" s="18">
        <f>M20-M28</f>
        <v/>
      </c>
      <c r="N30" s="18">
        <f>N20-N28</f>
        <v/>
      </c>
      <c r="O30" s="18">
        <f>O20-O28</f>
        <v/>
      </c>
      <c r="P30" s="19" t="n"/>
      <c r="Q30" s="18">
        <f>Q20-Q28</f>
        <v/>
      </c>
    </row>
    <row r="31">
      <c r="A31" s="78" t="n"/>
      <c r="B31" s="78" t="n"/>
      <c r="C31" s="19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19" t="n"/>
      <c r="Q31" s="78" t="n"/>
    </row>
    <row r="32">
      <c r="A32" s="78" t="n"/>
      <c r="B32" s="35" t="inlineStr">
        <is>
          <t>RETIREMENT</t>
        </is>
      </c>
      <c r="C32" s="15" t="inlineStr">
        <is>
          <t>TREND</t>
        </is>
      </c>
      <c r="D32" s="15" t="inlineStr">
        <is>
          <t>JANUARY</t>
        </is>
      </c>
      <c r="E32" s="15" t="inlineStr">
        <is>
          <t>FEBRUARY</t>
        </is>
      </c>
      <c r="F32" s="15" t="inlineStr">
        <is>
          <t>MARCH</t>
        </is>
      </c>
      <c r="G32" s="15" t="inlineStr">
        <is>
          <t>APRIL</t>
        </is>
      </c>
      <c r="H32" s="15" t="inlineStr">
        <is>
          <t>MAY</t>
        </is>
      </c>
      <c r="I32" s="15" t="inlineStr">
        <is>
          <t>JUNE</t>
        </is>
      </c>
      <c r="J32" s="15" t="inlineStr">
        <is>
          <t>JULY</t>
        </is>
      </c>
      <c r="K32" s="15" t="inlineStr">
        <is>
          <t>AUGUST</t>
        </is>
      </c>
      <c r="L32" s="15" t="inlineStr">
        <is>
          <t>SEPTEMBER</t>
        </is>
      </c>
      <c r="M32" s="15" t="inlineStr">
        <is>
          <t>OCTOBER</t>
        </is>
      </c>
      <c r="N32" s="15" t="inlineStr">
        <is>
          <t>NOVEMBER</t>
        </is>
      </c>
      <c r="O32" s="15" t="inlineStr">
        <is>
          <t>DECEMBER</t>
        </is>
      </c>
      <c r="P32" s="19" t="n"/>
      <c r="Q32" s="25" t="inlineStr">
        <is>
          <t>YTD</t>
        </is>
      </c>
    </row>
    <row r="33">
      <c r="A33" s="36" t="n">
        <v>0.15</v>
      </c>
      <c r="B33" s="31" t="inlineStr">
        <is>
          <t>401k</t>
        </is>
      </c>
      <c r="C33" s="27" t="n"/>
      <c r="D33" s="33">
        <f>D15*$A$33</f>
        <v/>
      </c>
      <c r="E33" s="33">
        <f>E15*$A$33</f>
        <v/>
      </c>
      <c r="F33" s="33">
        <f>F15*$A$33</f>
        <v/>
      </c>
      <c r="G33" s="33">
        <f>G15*$A$33</f>
        <v/>
      </c>
      <c r="H33" s="33">
        <f>H15*$A$33</f>
        <v/>
      </c>
      <c r="I33" s="33">
        <f>I15*$A$33</f>
        <v/>
      </c>
      <c r="J33" s="33">
        <f>J15*$A$33</f>
        <v/>
      </c>
      <c r="K33" s="33">
        <f>K15*$A$33</f>
        <v/>
      </c>
      <c r="L33" s="33">
        <f>L15*$A$33</f>
        <v/>
      </c>
      <c r="M33" s="33">
        <f>M15*$A$33</f>
        <v/>
      </c>
      <c r="N33" s="33">
        <f>N15*$A$33</f>
        <v/>
      </c>
      <c r="O33" s="33">
        <f>O15*$A$33</f>
        <v/>
      </c>
      <c r="P33" s="19" t="n"/>
      <c r="Q33" s="33">
        <f>SUM(D33:O33)</f>
        <v/>
      </c>
    </row>
    <row r="34">
      <c r="A34" s="36" t="n">
        <v>0.1</v>
      </c>
      <c r="B34" s="31" t="inlineStr">
        <is>
          <t>ESPP</t>
        </is>
      </c>
      <c r="C34" s="27" t="n"/>
      <c r="D34" s="33">
        <f>D15*$A$34</f>
        <v/>
      </c>
      <c r="E34" s="33">
        <f>E15*$A$34</f>
        <v/>
      </c>
      <c r="F34" s="33">
        <f>F15*$A$34</f>
        <v/>
      </c>
      <c r="G34" s="33">
        <f>G15*$A$34</f>
        <v/>
      </c>
      <c r="H34" s="33">
        <f>H15*$A$34</f>
        <v/>
      </c>
      <c r="I34" s="33">
        <f>I15*$A$34</f>
        <v/>
      </c>
      <c r="J34" s="33">
        <f>J15*$A$34</f>
        <v/>
      </c>
      <c r="K34" s="33">
        <f>K15*$A$34</f>
        <v/>
      </c>
      <c r="L34" s="33">
        <f>L15*$A$34</f>
        <v/>
      </c>
      <c r="M34" s="33">
        <f>M15*$A$34</f>
        <v/>
      </c>
      <c r="N34" s="33">
        <f>N15*$A$34</f>
        <v/>
      </c>
      <c r="O34" s="33">
        <f>O15*$A$34</f>
        <v/>
      </c>
      <c r="P34" s="34" t="n"/>
      <c r="Q34" s="33">
        <f>SUM(D34:O34)</f>
        <v/>
      </c>
    </row>
    <row r="35">
      <c r="A35" s="3" t="n"/>
      <c r="B35" s="31" t="inlineStr">
        <is>
          <t>Other</t>
        </is>
      </c>
      <c r="C35" s="27" t="n"/>
      <c r="D35" s="33" t="n">
        <v>0</v>
      </c>
      <c r="E35" s="33" t="n">
        <v>0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0</v>
      </c>
      <c r="P35" s="34" t="n"/>
      <c r="Q35" s="33">
        <f>SUM(D35:O35)</f>
        <v/>
      </c>
    </row>
    <row r="36">
      <c r="A36" s="78" t="n"/>
      <c r="B36" s="16" t="inlineStr">
        <is>
          <t>TOTAL REDUCTIONS</t>
        </is>
      </c>
      <c r="C36" s="17" t="n"/>
      <c r="D36" s="18">
        <f>SUM(D33:D35)</f>
        <v/>
      </c>
      <c r="E36" s="18">
        <f>SUM(E33:E35)</f>
        <v/>
      </c>
      <c r="F36" s="18">
        <f>SUM(F33:F35)</f>
        <v/>
      </c>
      <c r="G36" s="18">
        <f>SUM(G33:G35)</f>
        <v/>
      </c>
      <c r="H36" s="18">
        <f>SUM(H33:H35)</f>
        <v/>
      </c>
      <c r="I36" s="18">
        <f>SUM(I33:I35)</f>
        <v/>
      </c>
      <c r="J36" s="18">
        <f>SUM(J33:J35)</f>
        <v/>
      </c>
      <c r="K36" s="18">
        <f>SUM(K33:K35)</f>
        <v/>
      </c>
      <c r="L36" s="18">
        <f>SUM(L33:L35)</f>
        <v/>
      </c>
      <c r="M36" s="18">
        <f>SUM(M33:M35)</f>
        <v/>
      </c>
      <c r="N36" s="18">
        <f>SUM(N33:N35)</f>
        <v/>
      </c>
      <c r="O36" s="18">
        <f>SUM(O33:O35)</f>
        <v/>
      </c>
      <c r="P36" s="19" t="n"/>
      <c r="Q36" s="18">
        <f>SUM(Q33:Q35)</f>
        <v/>
      </c>
    </row>
    <row r="37">
      <c r="A37" s="78" t="n"/>
      <c r="B37" s="78" t="n"/>
      <c r="C37" s="19" t="n"/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19" t="n"/>
      <c r="Q37" s="78" t="n"/>
    </row>
    <row r="38">
      <c r="A38" s="78" t="n"/>
      <c r="B38" s="16" t="inlineStr">
        <is>
          <t>NET PROFIT</t>
        </is>
      </c>
      <c r="C38" s="17" t="n"/>
      <c r="D38" s="18">
        <f>D20-D28-D36</f>
        <v/>
      </c>
      <c r="E38" s="18">
        <f>E20-E28-E36</f>
        <v/>
      </c>
      <c r="F38" s="18">
        <f>F20-F28-F36</f>
        <v/>
      </c>
      <c r="G38" s="18">
        <f>G20-G28-G36</f>
        <v/>
      </c>
      <c r="H38" s="18">
        <f>H20-H28-H36</f>
        <v/>
      </c>
      <c r="I38" s="18">
        <f>I20-I28-I36</f>
        <v/>
      </c>
      <c r="J38" s="18">
        <f>J20-J28-J36</f>
        <v/>
      </c>
      <c r="K38" s="18">
        <f>K20-K28-K36</f>
        <v/>
      </c>
      <c r="L38" s="18">
        <f>L20-L28-L36</f>
        <v/>
      </c>
      <c r="M38" s="18">
        <f>M20-M28-M36</f>
        <v/>
      </c>
      <c r="N38" s="18">
        <f>N20-N28-N36</f>
        <v/>
      </c>
      <c r="O38" s="18">
        <f>O20-O28-O36</f>
        <v/>
      </c>
      <c r="P38" s="19" t="n"/>
      <c r="Q38" s="18">
        <f>Q20-Q28-Q36</f>
        <v/>
      </c>
    </row>
    <row r="39">
      <c r="A39" s="78" t="n"/>
      <c r="B39" s="12" t="n"/>
      <c r="C39" s="19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9" t="n"/>
      <c r="Q39" s="13" t="n"/>
    </row>
    <row r="40">
      <c r="A40" s="78" t="n"/>
      <c r="B40" s="24" t="inlineStr">
        <is>
          <t>EXPENSES</t>
        </is>
      </c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8" t="n"/>
      <c r="P40" s="19" t="n"/>
      <c r="Q40" s="39" t="n"/>
    </row>
    <row r="41">
      <c r="A41" s="78" t="n"/>
      <c r="B41" s="40" t="inlineStr">
        <is>
          <t>EMPLOYEE AND LABOR</t>
        </is>
      </c>
      <c r="C41" s="25" t="inlineStr">
        <is>
          <t>TREND</t>
        </is>
      </c>
      <c r="D41" s="41" t="inlineStr">
        <is>
          <t>JANUARY</t>
        </is>
      </c>
      <c r="E41" s="41" t="inlineStr">
        <is>
          <t>FEBRUARY</t>
        </is>
      </c>
      <c r="F41" s="41" t="inlineStr">
        <is>
          <t>MARCH</t>
        </is>
      </c>
      <c r="G41" s="41" t="inlineStr">
        <is>
          <t>APRIL</t>
        </is>
      </c>
      <c r="H41" s="41" t="inlineStr">
        <is>
          <t>MAY</t>
        </is>
      </c>
      <c r="I41" s="41" t="inlineStr">
        <is>
          <t>JUNE</t>
        </is>
      </c>
      <c r="J41" s="41" t="inlineStr">
        <is>
          <t>JULY</t>
        </is>
      </c>
      <c r="K41" s="41" t="inlineStr">
        <is>
          <t>AUGUST</t>
        </is>
      </c>
      <c r="L41" s="41" t="inlineStr">
        <is>
          <t>SEPTEMBER</t>
        </is>
      </c>
      <c r="M41" s="41" t="inlineStr">
        <is>
          <t>OCTOBER</t>
        </is>
      </c>
      <c r="N41" s="41" t="inlineStr">
        <is>
          <t>NOVEMBER</t>
        </is>
      </c>
      <c r="O41" s="41" t="inlineStr">
        <is>
          <t>DECEMBER</t>
        </is>
      </c>
      <c r="P41" s="19" t="n"/>
      <c r="Q41" s="25" t="inlineStr">
        <is>
          <t>YTD</t>
        </is>
      </c>
    </row>
    <row r="42">
      <c r="A42" s="78" t="n"/>
      <c r="B42" s="31" t="inlineStr">
        <is>
          <t>Salaries</t>
        </is>
      </c>
      <c r="C42" s="27" t="n"/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42" t="n"/>
      <c r="Q42" s="29">
        <f>SUM(D42:O42)</f>
        <v/>
      </c>
    </row>
    <row r="43">
      <c r="A43" s="43" t="n"/>
      <c r="B43" s="31" t="inlineStr">
        <is>
          <t>Wages</t>
        </is>
      </c>
      <c r="C43" s="27" t="n"/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19" t="n"/>
      <c r="Q43" s="29">
        <f>SUM(D43:O43)</f>
        <v/>
      </c>
    </row>
    <row r="44">
      <c r="A44" s="78" t="n"/>
      <c r="B44" s="31" t="inlineStr">
        <is>
          <t>Benefits</t>
        </is>
      </c>
      <c r="C44" s="27" t="n"/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42" t="n"/>
      <c r="Q44" s="29">
        <f>SUM(D44:O44)</f>
        <v/>
      </c>
    </row>
    <row r="45">
      <c r="A45" s="78" t="n"/>
      <c r="B45" s="31" t="inlineStr">
        <is>
          <t>Pension/Retirement</t>
        </is>
      </c>
      <c r="C45" s="27" t="n"/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19" t="n"/>
      <c r="Q45" s="29">
        <f>SUM(D45:O45)</f>
        <v/>
      </c>
    </row>
    <row r="46">
      <c r="A46" s="78" t="n"/>
      <c r="B46" s="31" t="inlineStr">
        <is>
          <t>Commissions</t>
        </is>
      </c>
      <c r="C46" s="27" t="n"/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19" t="n"/>
      <c r="Q46" s="29">
        <f>SUM(D46:O46)</f>
        <v/>
      </c>
    </row>
    <row r="47">
      <c r="A47" s="78" t="n"/>
      <c r="B47" s="31" t="inlineStr">
        <is>
          <t>Workers Comp</t>
        </is>
      </c>
      <c r="C47" s="27" t="n"/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42" t="n"/>
      <c r="Q47" s="29">
        <f>SUM(D47:O47)</f>
        <v/>
      </c>
    </row>
    <row r="48">
      <c r="A48" s="43" t="n"/>
      <c r="B48" s="31" t="inlineStr">
        <is>
          <t>Contract Labor</t>
        </is>
      </c>
      <c r="C48" s="27" t="n"/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19" t="n"/>
      <c r="Q48" s="29">
        <f>SUM(D48:O48)</f>
        <v/>
      </c>
    </row>
    <row r="49">
      <c r="A49" s="78" t="n"/>
      <c r="B49" s="31" t="inlineStr">
        <is>
          <t>Training</t>
        </is>
      </c>
      <c r="C49" s="27" t="n"/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42" t="n"/>
      <c r="Q49" s="29">
        <f>SUM(D49:O49)</f>
        <v/>
      </c>
    </row>
    <row r="50">
      <c r="A50" s="78" t="n"/>
      <c r="B50" s="31" t="inlineStr">
        <is>
          <t>Other</t>
        </is>
      </c>
      <c r="C50" s="27" t="n"/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19" t="n"/>
      <c r="Q50" s="29">
        <f>SUM(D50:O50)</f>
        <v/>
      </c>
    </row>
    <row r="51">
      <c r="A51" s="78" t="n"/>
      <c r="B51" s="16" t="inlineStr">
        <is>
          <t>TOTAL EMPLOYEE AND LABOR EXPENSE</t>
        </is>
      </c>
      <c r="C51" s="17" t="n"/>
      <c r="D51" s="18">
        <f>SUM(D42:D50)</f>
        <v/>
      </c>
      <c r="E51" s="18">
        <f>SUM(E42:E50)</f>
        <v/>
      </c>
      <c r="F51" s="18">
        <f>SUM(F42:F50)</f>
        <v/>
      </c>
      <c r="G51" s="18">
        <f>SUM(G42:G50)</f>
        <v/>
      </c>
      <c r="H51" s="18">
        <f>SUM(H42:H50)</f>
        <v/>
      </c>
      <c r="I51" s="18">
        <f>SUM(I42:I50)</f>
        <v/>
      </c>
      <c r="J51" s="18">
        <f>SUM(J42:J50)</f>
        <v/>
      </c>
      <c r="K51" s="18">
        <f>SUM(K42:K50)</f>
        <v/>
      </c>
      <c r="L51" s="18">
        <f>SUM(L42:L50)</f>
        <v/>
      </c>
      <c r="M51" s="18">
        <f>SUM(M42:M50)</f>
        <v/>
      </c>
      <c r="N51" s="18">
        <f>SUM(N42:N50)</f>
        <v/>
      </c>
      <c r="O51" s="18">
        <f>SUM(O42:O50)</f>
        <v/>
      </c>
      <c r="P51" s="42" t="n"/>
      <c r="Q51" s="18">
        <f>SUM(Q42:Q50)</f>
        <v/>
      </c>
    </row>
    <row r="52">
      <c r="A52" s="78" t="n"/>
      <c r="B52" s="44" t="n"/>
      <c r="C52" s="78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78" t="n"/>
      <c r="Q52" s="44" t="n"/>
    </row>
    <row r="53">
      <c r="A53" s="78" t="n"/>
      <c r="B53" s="45" t="inlineStr">
        <is>
          <t>PROFESSIONAL SERVICES</t>
        </is>
      </c>
      <c r="C53" s="25" t="inlineStr">
        <is>
          <t>TREND</t>
        </is>
      </c>
      <c r="D53" s="25" t="inlineStr">
        <is>
          <t>JANUARY</t>
        </is>
      </c>
      <c r="E53" s="25" t="inlineStr">
        <is>
          <t>FEBRUARY</t>
        </is>
      </c>
      <c r="F53" s="25" t="inlineStr">
        <is>
          <t>MARCH</t>
        </is>
      </c>
      <c r="G53" s="25" t="inlineStr">
        <is>
          <t>APRIL</t>
        </is>
      </c>
      <c r="H53" s="25" t="inlineStr">
        <is>
          <t>MAY</t>
        </is>
      </c>
      <c r="I53" s="25" t="inlineStr">
        <is>
          <t>JUNE</t>
        </is>
      </c>
      <c r="J53" s="25" t="inlineStr">
        <is>
          <t>JULY</t>
        </is>
      </c>
      <c r="K53" s="25" t="inlineStr">
        <is>
          <t>AUGUST</t>
        </is>
      </c>
      <c r="L53" s="25" t="inlineStr">
        <is>
          <t>SEPTEMBER</t>
        </is>
      </c>
      <c r="M53" s="25" t="inlineStr">
        <is>
          <t>OCTOBER</t>
        </is>
      </c>
      <c r="N53" s="25" t="inlineStr">
        <is>
          <t>NOVEMBER</t>
        </is>
      </c>
      <c r="O53" s="25" t="inlineStr">
        <is>
          <t>DECEMBER</t>
        </is>
      </c>
      <c r="P53" s="78" t="n"/>
      <c r="Q53" s="25" t="inlineStr">
        <is>
          <t>YTD</t>
        </is>
      </c>
    </row>
    <row r="54">
      <c r="A54" s="78" t="n"/>
      <c r="B54" s="31" t="inlineStr">
        <is>
          <t>Outside Services</t>
        </is>
      </c>
      <c r="C54" s="27" t="n"/>
      <c r="D54" s="29" t="n">
        <v>0</v>
      </c>
      <c r="E54" s="29" t="n">
        <v>0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29" t="n">
        <v>0</v>
      </c>
      <c r="O54" s="29" t="n">
        <v>0</v>
      </c>
      <c r="P54" s="78" t="n"/>
      <c r="Q54" s="29">
        <f>SUM(D54:O54)</f>
        <v/>
      </c>
    </row>
    <row r="55">
      <c r="A55" s="78" t="n"/>
      <c r="B55" s="31" t="inlineStr">
        <is>
          <t>Accounting</t>
        </is>
      </c>
      <c r="C55" s="27" t="n"/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78" t="n"/>
      <c r="Q55" s="29">
        <f>SUM(D55:O55)</f>
        <v/>
      </c>
    </row>
    <row r="56">
      <c r="A56" s="78" t="n"/>
      <c r="B56" s="31" t="inlineStr">
        <is>
          <t>Legal</t>
        </is>
      </c>
      <c r="C56" s="27" t="n"/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78" t="n"/>
      <c r="Q56" s="29">
        <f>SUM(D56:O56)</f>
        <v/>
      </c>
    </row>
    <row r="57">
      <c r="A57" s="78" t="n"/>
      <c r="B57" s="31" t="inlineStr">
        <is>
          <t>Other</t>
        </is>
      </c>
      <c r="C57" s="27" t="n"/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78" t="n"/>
      <c r="Q57" s="29">
        <f>SUM(D57:O57)</f>
        <v/>
      </c>
    </row>
    <row r="58">
      <c r="A58" s="78" t="n"/>
      <c r="B58" s="31" t="inlineStr">
        <is>
          <t>Other</t>
        </is>
      </c>
      <c r="C58" s="27" t="n"/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78" t="n"/>
      <c r="Q58" s="29">
        <f>SUM(D58:O58)</f>
        <v/>
      </c>
    </row>
    <row r="59">
      <c r="A59" s="78" t="n"/>
      <c r="B59" s="16" t="inlineStr">
        <is>
          <t>TOTAL PROFESSIONAL SERVICES</t>
        </is>
      </c>
      <c r="C59" s="17" t="n"/>
      <c r="D59" s="18">
        <f>SUM(D54:D58)</f>
        <v/>
      </c>
      <c r="E59" s="18">
        <f>SUM(E54:E58)</f>
        <v/>
      </c>
      <c r="F59" s="18">
        <f>SUM(F54:F58)</f>
        <v/>
      </c>
      <c r="G59" s="18">
        <f>SUM(G54:G58)</f>
        <v/>
      </c>
      <c r="H59" s="18">
        <f>SUM(H54:H58)</f>
        <v/>
      </c>
      <c r="I59" s="18">
        <f>SUM(I54:I58)</f>
        <v/>
      </c>
      <c r="J59" s="18">
        <f>SUM(J54:J58)</f>
        <v/>
      </c>
      <c r="K59" s="18">
        <f>SUM(K54:K58)</f>
        <v/>
      </c>
      <c r="L59" s="18">
        <f>SUM(L54:L58)</f>
        <v/>
      </c>
      <c r="M59" s="18">
        <f>SUM(M54:M58)</f>
        <v/>
      </c>
      <c r="N59" s="18">
        <f>SUM(N54:N58)</f>
        <v/>
      </c>
      <c r="O59" s="18">
        <f>SUM(O54:O58)</f>
        <v/>
      </c>
      <c r="P59" s="78" t="n"/>
      <c r="Q59" s="18">
        <f>SUM(Q54:Q58)</f>
        <v/>
      </c>
    </row>
    <row r="60">
      <c r="A60" s="78" t="n"/>
      <c r="B60" s="44" t="n"/>
      <c r="C60" s="78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78" t="n"/>
      <c r="Q60" s="44" t="n"/>
    </row>
    <row r="61">
      <c r="A61" s="78" t="n"/>
      <c r="B61" s="45" t="inlineStr">
        <is>
          <t>BANKING AND FINANCE</t>
        </is>
      </c>
      <c r="C61" s="25" t="inlineStr">
        <is>
          <t>TREND</t>
        </is>
      </c>
      <c r="D61" s="25" t="inlineStr">
        <is>
          <t>JANUARY</t>
        </is>
      </c>
      <c r="E61" s="25" t="inlineStr">
        <is>
          <t>FEBRUARY</t>
        </is>
      </c>
      <c r="F61" s="25" t="inlineStr">
        <is>
          <t>MARCH</t>
        </is>
      </c>
      <c r="G61" s="25" t="inlineStr">
        <is>
          <t>APRIL</t>
        </is>
      </c>
      <c r="H61" s="25" t="inlineStr">
        <is>
          <t>MAY</t>
        </is>
      </c>
      <c r="I61" s="25" t="inlineStr">
        <is>
          <t>JUNE</t>
        </is>
      </c>
      <c r="J61" s="25" t="inlineStr">
        <is>
          <t>JULY</t>
        </is>
      </c>
      <c r="K61" s="25" t="inlineStr">
        <is>
          <t>AUGUST</t>
        </is>
      </c>
      <c r="L61" s="25" t="inlineStr">
        <is>
          <t>SEPTEMBER</t>
        </is>
      </c>
      <c r="M61" s="25" t="inlineStr">
        <is>
          <t>OCTOBER</t>
        </is>
      </c>
      <c r="N61" s="25" t="inlineStr">
        <is>
          <t>NOVEMBER</t>
        </is>
      </c>
      <c r="O61" s="25" t="inlineStr">
        <is>
          <t>DECEMBER</t>
        </is>
      </c>
      <c r="P61" s="78" t="n"/>
      <c r="Q61" s="25" t="inlineStr">
        <is>
          <t>YTD</t>
        </is>
      </c>
    </row>
    <row r="62">
      <c r="A62" s="78" t="n"/>
      <c r="B62" s="31" t="inlineStr">
        <is>
          <t>IRS Debt</t>
        </is>
      </c>
      <c r="C62" s="27" t="n"/>
      <c r="D62" s="29" t="n">
        <v>1345</v>
      </c>
      <c r="E62" s="29" t="n">
        <v>1345</v>
      </c>
      <c r="F62" s="29" t="n">
        <v>1345</v>
      </c>
      <c r="G62" s="29" t="n">
        <v>1345</v>
      </c>
      <c r="H62" s="29" t="n">
        <v>1345</v>
      </c>
      <c r="I62" s="29" t="n">
        <v>1345</v>
      </c>
      <c r="J62" s="29" t="n">
        <v>1345</v>
      </c>
      <c r="K62" s="29" t="n">
        <v>1345</v>
      </c>
      <c r="L62" s="29" t="n">
        <v>1345</v>
      </c>
      <c r="M62" s="29" t="n">
        <v>1345</v>
      </c>
      <c r="N62" s="29" t="n">
        <v>1345</v>
      </c>
      <c r="O62" s="29" t="n">
        <v>1345</v>
      </c>
      <c r="P62" s="78" t="n"/>
      <c r="Q62" s="29">
        <f>SUM(D62:O62)</f>
        <v/>
      </c>
    </row>
    <row r="63">
      <c r="A63" s="78" t="n"/>
      <c r="B63" s="31" t="inlineStr">
        <is>
          <t>IRS Interest</t>
        </is>
      </c>
      <c r="C63" s="27" t="n"/>
      <c r="D63" s="29" t="n">
        <v>435</v>
      </c>
      <c r="E63" s="29" t="n">
        <v>435</v>
      </c>
      <c r="F63" s="29" t="n">
        <v>435</v>
      </c>
      <c r="G63" s="29" t="n">
        <v>435</v>
      </c>
      <c r="H63" s="29" t="n">
        <v>435</v>
      </c>
      <c r="I63" s="29" t="n">
        <v>435</v>
      </c>
      <c r="J63" s="29" t="n">
        <v>435</v>
      </c>
      <c r="K63" s="29" t="n">
        <v>435</v>
      </c>
      <c r="L63" s="29" t="n">
        <v>435</v>
      </c>
      <c r="M63" s="29" t="n">
        <v>435</v>
      </c>
      <c r="N63" s="29" t="n">
        <v>435</v>
      </c>
      <c r="O63" s="29" t="n">
        <v>435</v>
      </c>
      <c r="P63" s="78" t="n"/>
      <c r="Q63" s="29">
        <f>SUM(D63:O63)</f>
        <v/>
      </c>
    </row>
    <row r="64">
      <c r="A64" s="78" t="n"/>
      <c r="B64" s="31" t="inlineStr">
        <is>
          <t>Credit Card</t>
        </is>
      </c>
      <c r="C64" s="27" t="n"/>
      <c r="D64" s="29" t="n">
        <v>400</v>
      </c>
      <c r="E64" s="29" t="n">
        <v>400</v>
      </c>
      <c r="F64" s="29" t="n">
        <v>400</v>
      </c>
      <c r="G64" s="29" t="n">
        <v>400</v>
      </c>
      <c r="H64" s="29" t="n">
        <v>400</v>
      </c>
      <c r="I64" s="29" t="n">
        <v>400</v>
      </c>
      <c r="J64" s="29" t="n">
        <v>400</v>
      </c>
      <c r="K64" s="29" t="n">
        <v>400</v>
      </c>
      <c r="L64" s="29" t="n">
        <v>400</v>
      </c>
      <c r="M64" s="29" t="n">
        <v>400</v>
      </c>
      <c r="N64" s="29" t="n">
        <v>400</v>
      </c>
      <c r="O64" s="29" t="n">
        <v>400</v>
      </c>
      <c r="P64" s="78" t="n"/>
      <c r="Q64" s="29">
        <f>SUM(D64:O64)</f>
        <v/>
      </c>
    </row>
    <row r="65">
      <c r="A65" s="78" t="n"/>
      <c r="B65" s="31" t="inlineStr">
        <is>
          <t>Orion 59</t>
        </is>
      </c>
      <c r="C65" s="27" t="n"/>
      <c r="D65" s="29" t="n">
        <v>200</v>
      </c>
      <c r="E65" s="29" t="n">
        <v>200</v>
      </c>
      <c r="F65" s="29" t="n">
        <v>200</v>
      </c>
      <c r="G65" s="29" t="n">
        <v>200</v>
      </c>
      <c r="H65" s="29" t="n">
        <v>200</v>
      </c>
      <c r="I65" s="29" t="n">
        <v>200</v>
      </c>
      <c r="J65" s="29" t="n">
        <v>200</v>
      </c>
      <c r="K65" s="29" t="n">
        <v>200</v>
      </c>
      <c r="L65" s="29" t="n">
        <v>200</v>
      </c>
      <c r="M65" s="29" t="n">
        <v>200</v>
      </c>
      <c r="N65" s="29" t="n">
        <v>200</v>
      </c>
      <c r="O65" s="29" t="n">
        <v>200</v>
      </c>
      <c r="P65" s="78" t="n"/>
      <c r="Q65" s="29">
        <f>SUM(D65:O65)</f>
        <v/>
      </c>
    </row>
    <row r="66">
      <c r="A66" s="78" t="n"/>
      <c r="B66" s="31" t="inlineStr">
        <is>
          <t>Other</t>
        </is>
      </c>
      <c r="C66" s="27" t="n"/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29" t="n">
        <v>0</v>
      </c>
      <c r="M66" s="29" t="n">
        <v>0</v>
      </c>
      <c r="N66" s="29" t="n">
        <v>0</v>
      </c>
      <c r="O66" s="29" t="n">
        <v>0</v>
      </c>
      <c r="P66" s="78" t="n"/>
      <c r="Q66" s="29">
        <f>SUM(D66:O66)</f>
        <v/>
      </c>
    </row>
    <row r="67">
      <c r="A67" s="78" t="n"/>
      <c r="B67" s="16" t="inlineStr">
        <is>
          <t>TOTAL BANKING AND FINANCE</t>
        </is>
      </c>
      <c r="C67" s="17" t="n"/>
      <c r="D67" s="18">
        <f>SUM(D62:D66)</f>
        <v/>
      </c>
      <c r="E67" s="18">
        <f>SUM(E62:E66)</f>
        <v/>
      </c>
      <c r="F67" s="18">
        <f>SUM(F62:F66)</f>
        <v/>
      </c>
      <c r="G67" s="18">
        <f>SUM(G62:G66)</f>
        <v/>
      </c>
      <c r="H67" s="18">
        <f>SUM(H62:H66)</f>
        <v/>
      </c>
      <c r="I67" s="18">
        <f>SUM(I62:I66)</f>
        <v/>
      </c>
      <c r="J67" s="18">
        <f>SUM(J62:J66)</f>
        <v/>
      </c>
      <c r="K67" s="18">
        <f>SUM(K62:K66)</f>
        <v/>
      </c>
      <c r="L67" s="18">
        <f>SUM(L62:L66)</f>
        <v/>
      </c>
      <c r="M67" s="18">
        <f>SUM(M62:M66)</f>
        <v/>
      </c>
      <c r="N67" s="18">
        <f>SUM(N62:N66)</f>
        <v/>
      </c>
      <c r="O67" s="18">
        <f>SUM(O62:O66)</f>
        <v/>
      </c>
      <c r="P67" s="78" t="n"/>
      <c r="Q67" s="18">
        <f>SUM(Q62:Q66)</f>
        <v/>
      </c>
    </row>
    <row r="68">
      <c r="A68" s="78" t="n"/>
      <c r="B68" s="47" t="n"/>
      <c r="C68" s="48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78" t="n"/>
      <c r="Q68" s="44" t="n"/>
    </row>
    <row r="69">
      <c r="A69" s="78" t="n"/>
      <c r="B69" s="45" t="inlineStr">
        <is>
          <t>GENERAL BUSINESS</t>
        </is>
      </c>
      <c r="C69" s="25" t="inlineStr">
        <is>
          <t>TREND</t>
        </is>
      </c>
      <c r="D69" s="25" t="inlineStr">
        <is>
          <t>JANUARY</t>
        </is>
      </c>
      <c r="E69" s="25" t="inlineStr">
        <is>
          <t>FEBRUARY</t>
        </is>
      </c>
      <c r="F69" s="25" t="inlineStr">
        <is>
          <t>MARCH</t>
        </is>
      </c>
      <c r="G69" s="25" t="inlineStr">
        <is>
          <t>APRIL</t>
        </is>
      </c>
      <c r="H69" s="25" t="inlineStr">
        <is>
          <t>MAY</t>
        </is>
      </c>
      <c r="I69" s="25" t="inlineStr">
        <is>
          <t>JUNE</t>
        </is>
      </c>
      <c r="J69" s="25" t="inlineStr">
        <is>
          <t>JULY</t>
        </is>
      </c>
      <c r="K69" s="25" t="inlineStr">
        <is>
          <t>AUGUST</t>
        </is>
      </c>
      <c r="L69" s="25" t="inlineStr">
        <is>
          <t>SEPTEMBER</t>
        </is>
      </c>
      <c r="M69" s="25" t="inlineStr">
        <is>
          <t>OCTOBER</t>
        </is>
      </c>
      <c r="N69" s="25" t="inlineStr">
        <is>
          <t>NOVEMBER</t>
        </is>
      </c>
      <c r="O69" s="25" t="inlineStr">
        <is>
          <t>DECEMBER</t>
        </is>
      </c>
      <c r="P69" s="78" t="n"/>
      <c r="Q69" s="25" t="inlineStr">
        <is>
          <t>YTD</t>
        </is>
      </c>
    </row>
    <row r="70">
      <c r="A70" s="78" t="n"/>
      <c r="B70" s="31" t="inlineStr">
        <is>
          <t xml:space="preserve">Rent and Mortgage </t>
        </is>
      </c>
      <c r="C70" s="27" t="n"/>
      <c r="D70" s="29" t="n">
        <v>750</v>
      </c>
      <c r="E70" s="29" t="n">
        <v>750</v>
      </c>
      <c r="F70" s="29" t="n">
        <v>750</v>
      </c>
      <c r="G70" s="29" t="n">
        <v>750</v>
      </c>
      <c r="H70" s="29" t="n">
        <v>750</v>
      </c>
      <c r="I70" s="29" t="n">
        <v>750</v>
      </c>
      <c r="J70" s="29" t="n">
        <v>750</v>
      </c>
      <c r="K70" s="29" t="n">
        <v>750</v>
      </c>
      <c r="L70" s="29" t="n">
        <v>750</v>
      </c>
      <c r="M70" s="29" t="n">
        <v>750</v>
      </c>
      <c r="N70" s="29" t="n">
        <v>750</v>
      </c>
      <c r="O70" s="29" t="n">
        <v>750</v>
      </c>
      <c r="P70" s="78" t="n"/>
      <c r="Q70" s="29">
        <f>SUM(D70:O70)</f>
        <v/>
      </c>
    </row>
    <row r="71">
      <c r="A71" s="78" t="n"/>
      <c r="B71" s="31" t="inlineStr">
        <is>
          <t>Health Insurance</t>
        </is>
      </c>
      <c r="C71" s="27" t="n"/>
      <c r="D71" s="29" t="n">
        <v>20</v>
      </c>
      <c r="E71" s="29" t="n">
        <v>20</v>
      </c>
      <c r="F71" s="29" t="n">
        <v>20</v>
      </c>
      <c r="G71" s="29" t="n">
        <v>20</v>
      </c>
      <c r="H71" s="29" t="n">
        <v>20</v>
      </c>
      <c r="I71" s="29" t="n">
        <v>20</v>
      </c>
      <c r="J71" s="29" t="n">
        <v>20</v>
      </c>
      <c r="K71" s="29" t="n">
        <v>20</v>
      </c>
      <c r="L71" s="29" t="n">
        <v>20</v>
      </c>
      <c r="M71" s="29" t="n">
        <v>20</v>
      </c>
      <c r="N71" s="29" t="n">
        <v>20</v>
      </c>
      <c r="O71" s="29" t="n">
        <v>20</v>
      </c>
      <c r="P71" s="78" t="n"/>
      <c r="Q71" s="29">
        <f>SUM(D71:O71)</f>
        <v/>
      </c>
    </row>
    <row r="72">
      <c r="A72" s="78" t="n"/>
      <c r="B72" s="31" t="inlineStr">
        <is>
          <t>Life Insurance</t>
        </is>
      </c>
      <c r="C72" s="27" t="n"/>
      <c r="D72" s="29" t="n">
        <v>12.5</v>
      </c>
      <c r="E72" s="29" t="n">
        <v>12.5</v>
      </c>
      <c r="F72" s="29" t="n">
        <v>12.5</v>
      </c>
      <c r="G72" s="29" t="n">
        <v>12.5</v>
      </c>
      <c r="H72" s="29" t="n">
        <v>12.5</v>
      </c>
      <c r="I72" s="29" t="n">
        <v>12.5</v>
      </c>
      <c r="J72" s="29" t="n">
        <v>12.5</v>
      </c>
      <c r="K72" s="29" t="n">
        <v>12.5</v>
      </c>
      <c r="L72" s="29" t="n">
        <v>12.5</v>
      </c>
      <c r="M72" s="29" t="n">
        <v>12.5</v>
      </c>
      <c r="N72" s="29" t="n">
        <v>12.5</v>
      </c>
      <c r="O72" s="29" t="n">
        <v>12.5</v>
      </c>
      <c r="P72" s="78" t="n"/>
      <c r="Q72" s="29">
        <f>SUM(D72:O72)</f>
        <v/>
      </c>
    </row>
    <row r="73">
      <c r="A73" s="78" t="n"/>
      <c r="B73" s="31" t="inlineStr">
        <is>
          <t>Utilities</t>
        </is>
      </c>
      <c r="C73" s="27" t="n"/>
      <c r="D73" s="29" t="n">
        <v>100</v>
      </c>
      <c r="E73" s="29" t="n">
        <v>100</v>
      </c>
      <c r="F73" s="29" t="n">
        <v>100</v>
      </c>
      <c r="G73" s="29" t="n">
        <v>100</v>
      </c>
      <c r="H73" s="29" t="n">
        <v>100</v>
      </c>
      <c r="I73" s="29" t="n">
        <v>100</v>
      </c>
      <c r="J73" s="29" t="n">
        <v>100</v>
      </c>
      <c r="K73" s="29" t="n">
        <v>100</v>
      </c>
      <c r="L73" s="29" t="n">
        <v>100</v>
      </c>
      <c r="M73" s="29" t="n">
        <v>100</v>
      </c>
      <c r="N73" s="29" t="n">
        <v>100</v>
      </c>
      <c r="O73" s="29" t="n">
        <v>100</v>
      </c>
      <c r="P73" s="78" t="n"/>
      <c r="Q73" s="29">
        <f>SUM(D73:O73)</f>
        <v/>
      </c>
    </row>
    <row r="74">
      <c r="A74" s="78" t="n"/>
      <c r="B74" s="31" t="inlineStr">
        <is>
          <t>Telecommunication</t>
        </is>
      </c>
      <c r="C74" s="27" t="n"/>
      <c r="D74" s="29" t="n">
        <v>80</v>
      </c>
      <c r="E74" s="29" t="n">
        <v>80</v>
      </c>
      <c r="F74" s="29" t="n">
        <v>80</v>
      </c>
      <c r="G74" s="29" t="n">
        <v>80</v>
      </c>
      <c r="H74" s="29" t="n">
        <v>80</v>
      </c>
      <c r="I74" s="29" t="n">
        <v>80</v>
      </c>
      <c r="J74" s="29" t="n">
        <v>80</v>
      </c>
      <c r="K74" s="29" t="n">
        <v>80</v>
      </c>
      <c r="L74" s="29" t="n">
        <v>80</v>
      </c>
      <c r="M74" s="29" t="n">
        <v>80</v>
      </c>
      <c r="N74" s="29" t="n">
        <v>80</v>
      </c>
      <c r="O74" s="29" t="n">
        <v>80</v>
      </c>
      <c r="P74" s="78" t="n"/>
      <c r="Q74" s="29">
        <f>SUM(D74:O74)</f>
        <v/>
      </c>
    </row>
    <row r="75">
      <c r="A75" s="78" t="n"/>
      <c r="B75" s="31" t="inlineStr">
        <is>
          <t>Web Hosting</t>
        </is>
      </c>
      <c r="C75" s="27" t="n"/>
      <c r="D75" s="29" t="n">
        <v>50</v>
      </c>
      <c r="E75" s="29" t="n">
        <v>50</v>
      </c>
      <c r="F75" s="29" t="n">
        <v>50</v>
      </c>
      <c r="G75" s="29" t="n">
        <v>50</v>
      </c>
      <c r="H75" s="29" t="n">
        <v>50</v>
      </c>
      <c r="I75" s="29" t="n">
        <v>50</v>
      </c>
      <c r="J75" s="29" t="n">
        <v>50</v>
      </c>
      <c r="K75" s="29" t="n">
        <v>50</v>
      </c>
      <c r="L75" s="29" t="n">
        <v>50</v>
      </c>
      <c r="M75" s="29" t="n">
        <v>50</v>
      </c>
      <c r="N75" s="29" t="n">
        <v>50</v>
      </c>
      <c r="O75" s="29" t="n">
        <v>50</v>
      </c>
      <c r="P75" s="78" t="n"/>
      <c r="Q75" s="29">
        <f>SUM(D75:O75)</f>
        <v/>
      </c>
    </row>
    <row r="76">
      <c r="A76" s="78" t="n"/>
      <c r="B76" s="31" t="inlineStr">
        <is>
          <t>Subscriptions</t>
        </is>
      </c>
      <c r="C76" s="27" t="n"/>
      <c r="D76" s="29" t="n">
        <v>20</v>
      </c>
      <c r="E76" s="29" t="n">
        <v>20</v>
      </c>
      <c r="F76" s="29" t="n">
        <v>20</v>
      </c>
      <c r="G76" s="29" t="n">
        <v>20</v>
      </c>
      <c r="H76" s="29" t="n">
        <v>20</v>
      </c>
      <c r="I76" s="29" t="n">
        <v>20</v>
      </c>
      <c r="J76" s="29" t="n">
        <v>20</v>
      </c>
      <c r="K76" s="29" t="n">
        <v>20</v>
      </c>
      <c r="L76" s="29" t="n">
        <v>20</v>
      </c>
      <c r="M76" s="29" t="n">
        <v>20</v>
      </c>
      <c r="N76" s="29" t="n">
        <v>20</v>
      </c>
      <c r="O76" s="29" t="n">
        <v>20</v>
      </c>
      <c r="P76" s="78" t="n"/>
      <c r="Q76" s="29">
        <f>SUM(D76:O76)</f>
        <v/>
      </c>
    </row>
    <row r="77">
      <c r="A77" s="78" t="n"/>
      <c r="B77" s="31" t="inlineStr">
        <is>
          <t>Travel</t>
        </is>
      </c>
      <c r="C77" s="27" t="n"/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78" t="n"/>
      <c r="Q77" s="29">
        <f>SUM(D77:O77)</f>
        <v/>
      </c>
    </row>
    <row r="78">
      <c r="A78" s="78" t="n"/>
      <c r="B78" s="31" t="inlineStr">
        <is>
          <t>Meals and Entertainment</t>
        </is>
      </c>
      <c r="C78" s="27" t="n"/>
      <c r="D78" s="29" t="n">
        <v>500</v>
      </c>
      <c r="E78" s="29" t="n">
        <v>500</v>
      </c>
      <c r="F78" s="29" t="n">
        <v>500</v>
      </c>
      <c r="G78" s="29" t="n">
        <v>500</v>
      </c>
      <c r="H78" s="29" t="n">
        <v>500</v>
      </c>
      <c r="I78" s="29" t="n">
        <v>500</v>
      </c>
      <c r="J78" s="29" t="n">
        <v>500</v>
      </c>
      <c r="K78" s="29" t="n">
        <v>500</v>
      </c>
      <c r="L78" s="29" t="n">
        <v>500</v>
      </c>
      <c r="M78" s="29" t="n">
        <v>500</v>
      </c>
      <c r="N78" s="29" t="n">
        <v>500</v>
      </c>
      <c r="O78" s="29" t="n">
        <v>500</v>
      </c>
      <c r="P78" s="78" t="n"/>
      <c r="Q78" s="29">
        <f>SUM(D78:O78)</f>
        <v/>
      </c>
    </row>
    <row r="79">
      <c r="A79" s="78" t="n"/>
      <c r="B79" s="31" t="inlineStr">
        <is>
          <t>Other</t>
        </is>
      </c>
      <c r="C79" s="27" t="n"/>
      <c r="D79" s="29" t="n">
        <v>0</v>
      </c>
      <c r="E79" s="29" t="n">
        <v>0</v>
      </c>
      <c r="F79" s="29" t="n">
        <v>0</v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29" t="n">
        <v>0</v>
      </c>
      <c r="M79" s="29" t="n">
        <v>0</v>
      </c>
      <c r="N79" s="29" t="n">
        <v>0</v>
      </c>
      <c r="O79" s="29" t="n">
        <v>0</v>
      </c>
      <c r="P79" s="78" t="n"/>
      <c r="Q79" s="29">
        <f>SUM(D79:O79)</f>
        <v/>
      </c>
    </row>
    <row r="80">
      <c r="A80" s="78" t="n"/>
      <c r="B80" s="16" t="inlineStr">
        <is>
          <t>TOTAL GENERAL BUSINESS</t>
        </is>
      </c>
      <c r="C80" s="17" t="n"/>
      <c r="D80" s="18">
        <f>SUM(D70:D79)</f>
        <v/>
      </c>
      <c r="E80" s="18">
        <f>SUM(E70:E79)</f>
        <v/>
      </c>
      <c r="F80" s="18">
        <f>SUM(F70:F79)</f>
        <v/>
      </c>
      <c r="G80" s="18">
        <f>SUM(G70:G79)</f>
        <v/>
      </c>
      <c r="H80" s="18">
        <f>SUM(H70:H79)</f>
        <v/>
      </c>
      <c r="I80" s="18">
        <f>SUM(I70:I79)</f>
        <v/>
      </c>
      <c r="J80" s="18">
        <f>SUM(J70:J79)</f>
        <v/>
      </c>
      <c r="K80" s="18">
        <f>SUM(K70:K79)</f>
        <v/>
      </c>
      <c r="L80" s="18">
        <f>SUM(L70:L79)</f>
        <v/>
      </c>
      <c r="M80" s="18">
        <f>SUM(M70:M79)</f>
        <v/>
      </c>
      <c r="N80" s="18">
        <f>SUM(N70:N79)</f>
        <v/>
      </c>
      <c r="O80" s="18">
        <f>SUM(O70:O79)</f>
        <v/>
      </c>
      <c r="P80" s="78" t="n"/>
      <c r="Q80" s="18">
        <f>SUM(Q70:Q79)</f>
        <v/>
      </c>
    </row>
    <row r="81">
      <c r="A81" s="78" t="n"/>
      <c r="B81" s="44" t="n"/>
      <c r="C81" s="78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78" t="n"/>
      <c r="Q81" s="44" t="n"/>
    </row>
    <row r="82">
      <c r="A82" s="78" t="n"/>
      <c r="B82" s="45" t="inlineStr">
        <is>
          <t>VEHICLE EXPENSE</t>
        </is>
      </c>
      <c r="C82" s="25" t="inlineStr">
        <is>
          <t>TREND</t>
        </is>
      </c>
      <c r="D82" s="25" t="inlineStr">
        <is>
          <t>JANUARY</t>
        </is>
      </c>
      <c r="E82" s="25" t="inlineStr">
        <is>
          <t>FEBRUARY</t>
        </is>
      </c>
      <c r="F82" s="25" t="inlineStr">
        <is>
          <t>MARCH</t>
        </is>
      </c>
      <c r="G82" s="25" t="inlineStr">
        <is>
          <t>APRIL</t>
        </is>
      </c>
      <c r="H82" s="25" t="inlineStr">
        <is>
          <t>MAY</t>
        </is>
      </c>
      <c r="I82" s="25" t="inlineStr">
        <is>
          <t>JUNE</t>
        </is>
      </c>
      <c r="J82" s="25" t="inlineStr">
        <is>
          <t>JULY</t>
        </is>
      </c>
      <c r="K82" s="25" t="inlineStr">
        <is>
          <t>AUGUST</t>
        </is>
      </c>
      <c r="L82" s="25" t="inlineStr">
        <is>
          <t>SEPTEMBER</t>
        </is>
      </c>
      <c r="M82" s="25" t="inlineStr">
        <is>
          <t>OCTOBER</t>
        </is>
      </c>
      <c r="N82" s="25" t="inlineStr">
        <is>
          <t>NOVEMBER</t>
        </is>
      </c>
      <c r="O82" s="25" t="inlineStr">
        <is>
          <t>DECEMBER</t>
        </is>
      </c>
      <c r="P82" s="78" t="n"/>
      <c r="Q82" s="25" t="inlineStr">
        <is>
          <t>YTD</t>
        </is>
      </c>
    </row>
    <row r="83">
      <c r="A83" s="78" t="n"/>
      <c r="B83" s="31" t="inlineStr">
        <is>
          <t>Gas</t>
        </is>
      </c>
      <c r="C83" s="27" t="n"/>
      <c r="D83" s="29" t="n">
        <v>50</v>
      </c>
      <c r="E83" s="29" t="n">
        <v>50</v>
      </c>
      <c r="F83" s="29" t="n">
        <v>50</v>
      </c>
      <c r="G83" s="29" t="n">
        <v>50</v>
      </c>
      <c r="H83" s="29" t="n">
        <v>50</v>
      </c>
      <c r="I83" s="29" t="n">
        <v>50</v>
      </c>
      <c r="J83" s="29" t="n">
        <v>50</v>
      </c>
      <c r="K83" s="29" t="n">
        <v>50</v>
      </c>
      <c r="L83" s="29" t="n">
        <v>50</v>
      </c>
      <c r="M83" s="29" t="n">
        <v>50</v>
      </c>
      <c r="N83" s="29" t="n">
        <v>50</v>
      </c>
      <c r="O83" s="29" t="n">
        <v>50</v>
      </c>
      <c r="P83" s="78" t="n"/>
      <c r="Q83" s="29">
        <f>SUM(D83:O83)</f>
        <v/>
      </c>
    </row>
    <row r="84">
      <c r="A84" s="78" t="n"/>
      <c r="B84" s="31" t="inlineStr">
        <is>
          <t>Maintenance and Repairs</t>
        </is>
      </c>
      <c r="C84" s="27" t="n"/>
      <c r="D84" s="29" t="n">
        <v>0</v>
      </c>
      <c r="E84" s="29" t="n">
        <v>0</v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0</v>
      </c>
      <c r="L84" s="29" t="n">
        <v>0</v>
      </c>
      <c r="M84" s="29" t="n">
        <v>0</v>
      </c>
      <c r="N84" s="29" t="n">
        <v>0</v>
      </c>
      <c r="O84" s="29" t="n">
        <v>0</v>
      </c>
      <c r="P84" s="78" t="n"/>
      <c r="Q84" s="29">
        <f>SUM(D84:O84)</f>
        <v/>
      </c>
    </row>
    <row r="85">
      <c r="A85" s="78" t="n"/>
      <c r="B85" s="31" t="inlineStr">
        <is>
          <t>Licensing</t>
        </is>
      </c>
      <c r="C85" s="27" t="n"/>
      <c r="D85" s="29" t="n">
        <v>0</v>
      </c>
      <c r="E85" s="29" t="n">
        <v>0</v>
      </c>
      <c r="F85" s="29" t="n">
        <v>0</v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29" t="n">
        <v>0</v>
      </c>
      <c r="M85" s="29" t="n">
        <v>0</v>
      </c>
      <c r="N85" s="29" t="n">
        <v>0</v>
      </c>
      <c r="O85" s="29" t="n">
        <v>0</v>
      </c>
      <c r="P85" s="78" t="n"/>
      <c r="Q85" s="29">
        <f>SUM(D85:O85)</f>
        <v/>
      </c>
    </row>
    <row r="86">
      <c r="A86" s="78" t="n"/>
      <c r="B86" s="31" t="inlineStr">
        <is>
          <t>Insurance</t>
        </is>
      </c>
      <c r="C86" s="27" t="n"/>
      <c r="D86" s="29" t="n">
        <v>0</v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0</v>
      </c>
      <c r="P86" s="78" t="n"/>
      <c r="Q86" s="29">
        <f>SUM(D86:O86)</f>
        <v/>
      </c>
    </row>
    <row r="87">
      <c r="A87" s="78" t="n"/>
      <c r="B87" s="31" t="inlineStr">
        <is>
          <t>Other</t>
        </is>
      </c>
      <c r="C87" s="27" t="n"/>
      <c r="D87" s="29" t="n">
        <v>0</v>
      </c>
      <c r="E87" s="29" t="n">
        <v>0</v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0</v>
      </c>
      <c r="P87" s="78" t="n"/>
      <c r="Q87" s="29">
        <f>SUM(D87:O87)</f>
        <v/>
      </c>
    </row>
    <row r="88">
      <c r="A88" s="78" t="n"/>
      <c r="B88" s="16" t="inlineStr">
        <is>
          <t>TOTAL VEHICLE EXPENSE</t>
        </is>
      </c>
      <c r="C88" s="17" t="n"/>
      <c r="D88" s="18">
        <f>SUM(D83:D87)</f>
        <v/>
      </c>
      <c r="E88" s="18">
        <f>SUM(E83:E87)</f>
        <v/>
      </c>
      <c r="F88" s="18">
        <f>SUM(F83:F87)</f>
        <v/>
      </c>
      <c r="G88" s="18">
        <f>SUM(G83:G87)</f>
        <v/>
      </c>
      <c r="H88" s="18">
        <f>SUM(H83:H87)</f>
        <v/>
      </c>
      <c r="I88" s="18">
        <f>SUM(I83:I87)</f>
        <v/>
      </c>
      <c r="J88" s="18">
        <f>SUM(J83:J87)</f>
        <v/>
      </c>
      <c r="K88" s="18">
        <f>SUM(K83:K87)</f>
        <v/>
      </c>
      <c r="L88" s="18">
        <f>SUM(L83:L87)</f>
        <v/>
      </c>
      <c r="M88" s="18">
        <f>SUM(M83:M87)</f>
        <v/>
      </c>
      <c r="N88" s="18">
        <f>SUM(N83:N87)</f>
        <v/>
      </c>
      <c r="O88" s="18">
        <f>SUM(O83:O87)</f>
        <v/>
      </c>
      <c r="P88" s="78" t="n"/>
      <c r="Q88" s="18">
        <f>SUM(Q83:Q87)</f>
        <v/>
      </c>
    </row>
    <row r="89">
      <c r="A89" s="78" t="n"/>
      <c r="B89" s="44" t="n"/>
      <c r="C89" s="78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78" t="n"/>
      <c r="Q89" s="44" t="n"/>
    </row>
    <row r="90">
      <c r="A90" s="78" t="n"/>
      <c r="B90" s="49" t="inlineStr">
        <is>
          <t>TAXES</t>
        </is>
      </c>
      <c r="C90" s="25" t="inlineStr">
        <is>
          <t>TREND</t>
        </is>
      </c>
      <c r="D90" s="25" t="inlineStr">
        <is>
          <t>JANUARY</t>
        </is>
      </c>
      <c r="E90" s="25" t="inlineStr">
        <is>
          <t>FEBRUARY</t>
        </is>
      </c>
      <c r="F90" s="25" t="inlineStr">
        <is>
          <t>MARCH</t>
        </is>
      </c>
      <c r="G90" s="25" t="inlineStr">
        <is>
          <t>APRIL</t>
        </is>
      </c>
      <c r="H90" s="25" t="inlineStr">
        <is>
          <t>MAY</t>
        </is>
      </c>
      <c r="I90" s="25" t="inlineStr">
        <is>
          <t>JUNE</t>
        </is>
      </c>
      <c r="J90" s="25" t="inlineStr">
        <is>
          <t>JULY</t>
        </is>
      </c>
      <c r="K90" s="25" t="inlineStr">
        <is>
          <t>AUGUST</t>
        </is>
      </c>
      <c r="L90" s="25" t="inlineStr">
        <is>
          <t>SEPTEMBER</t>
        </is>
      </c>
      <c r="M90" s="25" t="inlineStr">
        <is>
          <t>OCTOBER</t>
        </is>
      </c>
      <c r="N90" s="25" t="inlineStr">
        <is>
          <t>NOVEMBER</t>
        </is>
      </c>
      <c r="O90" s="25" t="inlineStr">
        <is>
          <t>DECEMBER</t>
        </is>
      </c>
      <c r="P90" s="78" t="n"/>
      <c r="Q90" s="25" t="inlineStr">
        <is>
          <t>YTD</t>
        </is>
      </c>
    </row>
    <row r="91">
      <c r="A91" s="36" t="n">
        <v>0.21</v>
      </c>
      <c r="B91" s="31" t="inlineStr">
        <is>
          <t>Income Tax</t>
        </is>
      </c>
      <c r="C91" s="27" t="n"/>
      <c r="D91" s="29">
        <f>D15*$A$91</f>
        <v/>
      </c>
      <c r="E91" s="29">
        <f>E15*$A$91</f>
        <v/>
      </c>
      <c r="F91" s="29">
        <f>F15*$A$91</f>
        <v/>
      </c>
      <c r="G91" s="29">
        <f>G15*$A$91</f>
        <v/>
      </c>
      <c r="H91" s="29">
        <f>H15*$A$91</f>
        <v/>
      </c>
      <c r="I91" s="29">
        <f>I15*$A$91</f>
        <v/>
      </c>
      <c r="J91" s="29">
        <f>J15*$A$91</f>
        <v/>
      </c>
      <c r="K91" s="29">
        <f>K15*$A$91</f>
        <v/>
      </c>
      <c r="L91" s="29">
        <f>L15*$A$91</f>
        <v/>
      </c>
      <c r="M91" s="29">
        <f>M15*$A$91</f>
        <v/>
      </c>
      <c r="N91" s="29">
        <f>N15*$A$91</f>
        <v/>
      </c>
      <c r="O91" s="29">
        <f>O15*$A$91</f>
        <v/>
      </c>
      <c r="P91" s="78" t="n"/>
      <c r="Q91" s="29">
        <f>SUM(D91:O91)</f>
        <v/>
      </c>
    </row>
    <row r="92">
      <c r="A92" s="78" t="n"/>
      <c r="B92" s="31" t="inlineStr">
        <is>
          <t>Other</t>
        </is>
      </c>
      <c r="C92" s="27" t="n"/>
      <c r="D92" s="29" t="n">
        <v>0</v>
      </c>
      <c r="E92" s="29" t="n">
        <v>0</v>
      </c>
      <c r="F92" s="29" t="n">
        <v>0</v>
      </c>
      <c r="G92" s="29" t="n">
        <v>0</v>
      </c>
      <c r="H92" s="29" t="n">
        <v>0</v>
      </c>
      <c r="I92" s="29" t="n">
        <v>0</v>
      </c>
      <c r="J92" s="29" t="n">
        <v>0</v>
      </c>
      <c r="K92" s="29" t="n">
        <v>0</v>
      </c>
      <c r="L92" s="29" t="n">
        <v>0</v>
      </c>
      <c r="M92" s="29" t="n">
        <v>0</v>
      </c>
      <c r="N92" s="29" t="n">
        <v>0</v>
      </c>
      <c r="O92" s="29" t="n">
        <v>0</v>
      </c>
      <c r="P92" s="78" t="n"/>
      <c r="Q92" s="29">
        <f>SUM(D92:O92)</f>
        <v/>
      </c>
    </row>
    <row r="93">
      <c r="A93" s="78" t="n"/>
      <c r="B93" s="16" t="inlineStr">
        <is>
          <t>TOTAL TAXES</t>
        </is>
      </c>
      <c r="C93" s="17" t="n"/>
      <c r="D93" s="18">
        <f>SUM(D91:D92)</f>
        <v/>
      </c>
      <c r="E93" s="18">
        <f>SUM(E91:E92)</f>
        <v/>
      </c>
      <c r="F93" s="18">
        <f>SUM(F91:F92)</f>
        <v/>
      </c>
      <c r="G93" s="18">
        <f>SUM(G91:G92)</f>
        <v/>
      </c>
      <c r="H93" s="18">
        <f>SUM(H91:H92)</f>
        <v/>
      </c>
      <c r="I93" s="18">
        <f>SUM(I91:I92)</f>
        <v/>
      </c>
      <c r="J93" s="18">
        <f>SUM(J91:J92)</f>
        <v/>
      </c>
      <c r="K93" s="18">
        <f>SUM(K91:K92)</f>
        <v/>
      </c>
      <c r="L93" s="18">
        <f>SUM(L91:L92)</f>
        <v/>
      </c>
      <c r="M93" s="18">
        <f>SUM(M91:M92)</f>
        <v/>
      </c>
      <c r="N93" s="18">
        <f>SUM(N91:N92)</f>
        <v/>
      </c>
      <c r="O93" s="18">
        <f>SUM(O91:O92)</f>
        <v/>
      </c>
      <c r="P93" s="78" t="n"/>
      <c r="Q93" s="18">
        <f>SUM(Q91:Q92)</f>
        <v/>
      </c>
    </row>
    <row r="94">
      <c r="A94" s="78" t="n"/>
      <c r="B94" s="44" t="n"/>
      <c r="C94" s="78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78" t="n"/>
      <c r="Q94" s="44" t="n"/>
    </row>
    <row r="95">
      <c r="A95" s="78" t="n"/>
      <c r="B95" s="16" t="inlineStr">
        <is>
          <t>TOTAL EXPENSES</t>
        </is>
      </c>
      <c r="C95" s="17" t="n"/>
      <c r="D95" s="18">
        <f>SUM(D51,D59,D67,D80,D88,D93)</f>
        <v/>
      </c>
      <c r="E95" s="18">
        <f>SUM(E51,E59,E67,E80,E88,E93)</f>
        <v/>
      </c>
      <c r="F95" s="18">
        <f>SUM(F51,F59,F67,F80,F88,F93)</f>
        <v/>
      </c>
      <c r="G95" s="18">
        <f>SUM(G51,G59,G67,G80,G88,G93)</f>
        <v/>
      </c>
      <c r="H95" s="18">
        <f>SUM(H51,H59,H67,H80,H88,H93)</f>
        <v/>
      </c>
      <c r="I95" s="18">
        <f>SUM(I51,I59,I67,I80,I88,I93)</f>
        <v/>
      </c>
      <c r="J95" s="18">
        <f>SUM(J51,J59,J67,J80,J88,J93)</f>
        <v/>
      </c>
      <c r="K95" s="18">
        <f>SUM(K51,K59,K67,K80,K88,K93)</f>
        <v/>
      </c>
      <c r="L95" s="18">
        <f>SUM(L51,L59,L67,L80,L88,L93)</f>
        <v/>
      </c>
      <c r="M95" s="18">
        <f>SUM(M51,M59,M67,M80,M88,M93)</f>
        <v/>
      </c>
      <c r="N95" s="18">
        <f>SUM(N51,N59,N67,N80,N88,N93)</f>
        <v/>
      </c>
      <c r="O95" s="18">
        <f>SUM(O51,O59,O67,O80,O88,O93)</f>
        <v/>
      </c>
      <c r="P95" s="78" t="n"/>
      <c r="Q95" s="18">
        <f>SUM(Q51,Q59,Q67,Q80,Q88,Q93)</f>
        <v/>
      </c>
    </row>
    <row r="96">
      <c r="A96" s="78" t="n"/>
      <c r="B96" s="50" t="n"/>
      <c r="C96" s="78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78" t="n"/>
      <c r="Q96" s="42" t="n"/>
    </row>
    <row r="97">
      <c r="A97" s="43" t="n"/>
      <c r="B97" s="155" t="inlineStr">
        <is>
          <t>TOTALS</t>
        </is>
      </c>
    </row>
    <row r="98">
      <c r="A98" s="78" t="n"/>
      <c r="B98" s="78" t="n"/>
      <c r="C98" s="78" t="n"/>
      <c r="D98" s="78" t="n"/>
      <c r="E98" s="78" t="n"/>
      <c r="F98" s="78" t="n"/>
      <c r="G98" s="78" t="n"/>
      <c r="H98" s="78" t="n"/>
      <c r="I98" s="78" t="n"/>
      <c r="J98" s="78" t="n"/>
      <c r="K98" s="78" t="n"/>
      <c r="L98" s="78" t="n"/>
      <c r="M98" s="78" t="n"/>
      <c r="N98" s="78" t="n"/>
      <c r="O98" s="78" t="n"/>
      <c r="P98" s="78" t="n"/>
      <c r="Q98" s="78" t="n"/>
    </row>
    <row r="99">
      <c r="A99" s="78" t="n"/>
      <c r="B99" s="78" t="n"/>
      <c r="C99" s="78" t="n"/>
      <c r="D99" s="78" t="n"/>
      <c r="E99" s="78" t="n"/>
      <c r="F99" s="78" t="n"/>
      <c r="G99" s="78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</row>
    <row r="10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</row>
    <row r="101">
      <c r="A101" s="54" t="n"/>
      <c r="B101" s="55" t="inlineStr">
        <is>
          <t>DEBT</t>
        </is>
      </c>
      <c r="C101" s="57" t="inlineStr">
        <is>
          <t>CURRENT</t>
        </is>
      </c>
      <c r="D101" s="57" t="inlineStr">
        <is>
          <t>JANUARY</t>
        </is>
      </c>
      <c r="E101" s="57" t="inlineStr">
        <is>
          <t>FEBRUARY</t>
        </is>
      </c>
      <c r="F101" s="57" t="inlineStr">
        <is>
          <t>MARCH</t>
        </is>
      </c>
      <c r="G101" s="57" t="inlineStr">
        <is>
          <t>APRIL</t>
        </is>
      </c>
      <c r="H101" s="57" t="inlineStr">
        <is>
          <t>MAY</t>
        </is>
      </c>
      <c r="I101" s="57" t="inlineStr">
        <is>
          <t>JUNE</t>
        </is>
      </c>
      <c r="J101" s="57" t="inlineStr">
        <is>
          <t>JULY</t>
        </is>
      </c>
      <c r="K101" s="57" t="inlineStr">
        <is>
          <t>AUGUST</t>
        </is>
      </c>
      <c r="L101" s="57" t="inlineStr">
        <is>
          <t>SEPTEMBER</t>
        </is>
      </c>
      <c r="M101" s="57" t="inlineStr">
        <is>
          <t>OCTOBER</t>
        </is>
      </c>
      <c r="N101" s="57" t="inlineStr">
        <is>
          <t>NOVEMBER</t>
        </is>
      </c>
      <c r="O101" s="57" t="inlineStr">
        <is>
          <t>DECEMBER</t>
        </is>
      </c>
      <c r="P101" s="58" t="n"/>
      <c r="Q101" s="59" t="inlineStr">
        <is>
          <t>YTD PAID</t>
        </is>
      </c>
    </row>
    <row r="102">
      <c r="A102" s="78" t="n"/>
      <c r="B102" s="61" t="inlineStr">
        <is>
          <t>IRS</t>
        </is>
      </c>
      <c r="C102" s="62" t="n">
        <v>60000</v>
      </c>
      <c r="D102" s="82">
        <f>C102-D62</f>
        <v/>
      </c>
      <c r="E102" s="82">
        <f>D102-E62</f>
        <v/>
      </c>
      <c r="F102" s="82">
        <f>E102-F62</f>
        <v/>
      </c>
      <c r="G102" s="82">
        <f>F102-G62</f>
        <v/>
      </c>
      <c r="H102" s="82">
        <f>G102-H62</f>
        <v/>
      </c>
      <c r="I102" s="82">
        <f>H102-I62</f>
        <v/>
      </c>
      <c r="J102" s="82">
        <f>I102-J62</f>
        <v/>
      </c>
      <c r="K102" s="82">
        <f>J102-K62</f>
        <v/>
      </c>
      <c r="L102" s="82">
        <f>K102-L62</f>
        <v/>
      </c>
      <c r="M102" s="82">
        <f>L102-M62</f>
        <v/>
      </c>
      <c r="N102" s="82">
        <f>M102-N62</f>
        <v/>
      </c>
      <c r="O102" s="82">
        <f>N102-O62</f>
        <v/>
      </c>
      <c r="P102" s="64" t="n"/>
      <c r="Q102" s="84">
        <f>Q62</f>
        <v/>
      </c>
    </row>
    <row r="103">
      <c r="A103" s="78" t="n"/>
      <c r="B103" s="61" t="inlineStr">
        <is>
          <t>Credit Card</t>
        </is>
      </c>
      <c r="C103" s="62" t="n">
        <v>11500</v>
      </c>
      <c r="D103" s="82">
        <f>C103-D64</f>
        <v/>
      </c>
      <c r="E103" s="82">
        <f>D103-E64</f>
        <v/>
      </c>
      <c r="F103" s="82">
        <f>E103-F64</f>
        <v/>
      </c>
      <c r="G103" s="82">
        <f>F103-G64</f>
        <v/>
      </c>
      <c r="H103" s="82">
        <f>G103-H64</f>
        <v/>
      </c>
      <c r="I103" s="82">
        <f>H103-I64</f>
        <v/>
      </c>
      <c r="J103" s="82">
        <f>I103-J64</f>
        <v/>
      </c>
      <c r="K103" s="82">
        <f>J103-K64</f>
        <v/>
      </c>
      <c r="L103" s="82">
        <f>K103-L64</f>
        <v/>
      </c>
      <c r="M103" s="82">
        <f>L103-M64</f>
        <v/>
      </c>
      <c r="N103" s="82">
        <f>M103-N64</f>
        <v/>
      </c>
      <c r="O103" s="82">
        <f>N103-O64</f>
        <v/>
      </c>
      <c r="P103" s="64" t="n"/>
      <c r="Q103" s="84">
        <f>Q63</f>
        <v/>
      </c>
    </row>
    <row r="104">
      <c r="A104" s="78" t="n"/>
      <c r="B104" s="149" t="inlineStr">
        <is>
          <t>Orion 59</t>
        </is>
      </c>
      <c r="C104" s="62" t="n">
        <v>2400</v>
      </c>
      <c r="D104" s="82">
        <f>C104-D65</f>
        <v/>
      </c>
      <c r="E104" s="82">
        <f>D104-E65</f>
        <v/>
      </c>
      <c r="F104" s="82">
        <f>E104-F65</f>
        <v/>
      </c>
      <c r="G104" s="82">
        <f>F104-G65</f>
        <v/>
      </c>
      <c r="H104" s="82">
        <f>G104-H65</f>
        <v/>
      </c>
      <c r="I104" s="82">
        <f>H104-I65</f>
        <v/>
      </c>
      <c r="J104" s="82">
        <f>I104-J65</f>
        <v/>
      </c>
      <c r="K104" s="82">
        <f>J104-K65</f>
        <v/>
      </c>
      <c r="L104" s="82">
        <f>K104-L65</f>
        <v/>
      </c>
      <c r="M104" s="82">
        <f>L104-M65</f>
        <v/>
      </c>
      <c r="N104" s="82">
        <f>M104-N65</f>
        <v/>
      </c>
      <c r="O104" s="82">
        <f>N104-O65</f>
        <v/>
      </c>
      <c r="P104" s="64" t="n"/>
      <c r="Q104" s="84">
        <f>Q65</f>
        <v/>
      </c>
    </row>
    <row r="105">
      <c r="A105" s="78" t="n"/>
      <c r="B105" s="76" t="n"/>
      <c r="C105" s="68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70" t="n"/>
      <c r="Q105" s="71" t="n"/>
    </row>
    <row r="106">
      <c r="A106" s="78" t="n"/>
      <c r="B106" s="72" t="inlineStr">
        <is>
          <t>TOTAL DEBT</t>
        </is>
      </c>
      <c r="C106" s="73">
        <f>sum(C102:C104)</f>
        <v/>
      </c>
      <c r="D106" s="73">
        <f>sum(D102:D104)</f>
        <v/>
      </c>
      <c r="E106" s="73">
        <f>sum(E102:E104)</f>
        <v/>
      </c>
      <c r="F106" s="73">
        <f>sum(F102:F104)</f>
        <v/>
      </c>
      <c r="G106" s="73">
        <f>sum(G102:G104)</f>
        <v/>
      </c>
      <c r="H106" s="73">
        <f>sum(H102:H104)</f>
        <v/>
      </c>
      <c r="I106" s="73">
        <f>sum(I102:I104)</f>
        <v/>
      </c>
      <c r="J106" s="73">
        <f>sum(J102:J104)</f>
        <v/>
      </c>
      <c r="K106" s="73">
        <f>sum(K102:K104)</f>
        <v/>
      </c>
      <c r="L106" s="73">
        <f>sum(L102:L104)</f>
        <v/>
      </c>
      <c r="M106" s="73">
        <f>sum(M102:M104)</f>
        <v/>
      </c>
      <c r="N106" s="73">
        <f>sum(N102:N104)</f>
        <v/>
      </c>
      <c r="O106" s="73">
        <f>sum(O102:O104)</f>
        <v/>
      </c>
      <c r="P106" s="74" t="n"/>
      <c r="Q106" s="75">
        <f>SUM(Q102:Q104)</f>
        <v/>
      </c>
    </row>
    <row r="107">
      <c r="A107" s="78" t="n"/>
      <c r="B107" s="76" t="n"/>
      <c r="C107" s="68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7" t="n"/>
      <c r="Q107" s="71" t="n"/>
    </row>
    <row r="108">
      <c r="A108" s="78" t="n"/>
      <c r="B108" s="79" t="inlineStr">
        <is>
          <t>FORM 843 (-$14,000)</t>
        </is>
      </c>
      <c r="C108" s="73">
        <f>C106-14000</f>
        <v/>
      </c>
      <c r="D108" s="73">
        <f>D106-14000</f>
        <v/>
      </c>
      <c r="E108" s="73">
        <f>E106-14000</f>
        <v/>
      </c>
      <c r="F108" s="73">
        <f>F106-14000</f>
        <v/>
      </c>
      <c r="G108" s="73">
        <f>G106-14000</f>
        <v/>
      </c>
      <c r="H108" s="73">
        <f>H106-14000</f>
        <v/>
      </c>
      <c r="I108" s="73">
        <f>I106-14000</f>
        <v/>
      </c>
      <c r="J108" s="73">
        <f>J106-14000</f>
        <v/>
      </c>
      <c r="K108" s="73">
        <f>K106-14000</f>
        <v/>
      </c>
      <c r="L108" s="73">
        <f>L106-14000</f>
        <v/>
      </c>
      <c r="M108" s="73">
        <f>M106-14000</f>
        <v/>
      </c>
      <c r="N108" s="73">
        <f>N106-14000</f>
        <v/>
      </c>
      <c r="O108" s="73">
        <f>O106-14000</f>
        <v/>
      </c>
      <c r="P108" s="74" t="n"/>
      <c r="Q108" s="75">
        <f>SUM(Q102:Q104)</f>
        <v/>
      </c>
    </row>
    <row r="109">
      <c r="A109" s="78" t="n"/>
      <c r="B109" s="78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1" t="n"/>
    </row>
    <row r="110">
      <c r="A110" s="54" t="n"/>
      <c r="B110" s="55" t="inlineStr">
        <is>
          <t>ASSETS</t>
        </is>
      </c>
      <c r="C110" s="57" t="inlineStr">
        <is>
          <t>CURRENT</t>
        </is>
      </c>
      <c r="D110" s="57" t="inlineStr">
        <is>
          <t>JANUARY</t>
        </is>
      </c>
      <c r="E110" s="57" t="inlineStr">
        <is>
          <t>FEBRUARY</t>
        </is>
      </c>
      <c r="F110" s="57" t="inlineStr">
        <is>
          <t>MARCH</t>
        </is>
      </c>
      <c r="G110" s="57" t="inlineStr">
        <is>
          <t>APRIL</t>
        </is>
      </c>
      <c r="H110" s="57" t="inlineStr">
        <is>
          <t>MAY</t>
        </is>
      </c>
      <c r="I110" s="57" t="inlineStr">
        <is>
          <t>JUNE</t>
        </is>
      </c>
      <c r="J110" s="57" t="inlineStr">
        <is>
          <t>JULY</t>
        </is>
      </c>
      <c r="K110" s="57" t="inlineStr">
        <is>
          <t>AUGUST</t>
        </is>
      </c>
      <c r="L110" s="57" t="inlineStr">
        <is>
          <t>SEPTEMBER</t>
        </is>
      </c>
      <c r="M110" s="57" t="inlineStr">
        <is>
          <t>OCTOBER</t>
        </is>
      </c>
      <c r="N110" s="57" t="inlineStr">
        <is>
          <t>NOVEMBER</t>
        </is>
      </c>
      <c r="O110" s="57" t="inlineStr">
        <is>
          <t>DECEMBER</t>
        </is>
      </c>
      <c r="P110" s="58" t="n"/>
      <c r="Q110" s="59" t="inlineStr">
        <is>
          <t>YTD GAIN</t>
        </is>
      </c>
    </row>
    <row r="111">
      <c r="A111" s="78" t="n"/>
      <c r="B111" s="61" t="inlineStr">
        <is>
          <t>Trading Cards</t>
        </is>
      </c>
      <c r="C111" s="62" t="n">
        <v>15000</v>
      </c>
      <c r="D111" s="82" t="n">
        <v>0</v>
      </c>
      <c r="E111" s="82" t="n">
        <v>0</v>
      </c>
      <c r="F111" s="82" t="n">
        <v>0</v>
      </c>
      <c r="G111" s="82" t="n">
        <v>0</v>
      </c>
      <c r="H111" s="82" t="n">
        <v>0</v>
      </c>
      <c r="I111" s="82" t="n">
        <v>0</v>
      </c>
      <c r="J111" s="82" t="n">
        <v>0</v>
      </c>
      <c r="K111" s="82" t="n">
        <v>0</v>
      </c>
      <c r="L111" s="82" t="n">
        <v>0</v>
      </c>
      <c r="M111" s="82" t="n">
        <v>0</v>
      </c>
      <c r="N111" s="82" t="n">
        <v>0</v>
      </c>
      <c r="O111" s="82" t="n">
        <v>15000</v>
      </c>
      <c r="P111" s="83" t="n"/>
      <c r="Q111" s="84" t="n">
        <v>0</v>
      </c>
    </row>
    <row r="112">
      <c r="A112" s="78" t="n"/>
      <c r="B112" s="61" t="inlineStr">
        <is>
          <t>Vinyls</t>
        </is>
      </c>
      <c r="C112" s="62" t="n">
        <v>15000</v>
      </c>
      <c r="D112" s="82" t="n">
        <v>0</v>
      </c>
      <c r="E112" s="82" t="n">
        <v>0</v>
      </c>
      <c r="F112" s="82" t="n">
        <v>0</v>
      </c>
      <c r="G112" s="82" t="n">
        <v>0</v>
      </c>
      <c r="H112" s="82" t="n">
        <v>0</v>
      </c>
      <c r="I112" s="82" t="n">
        <v>0</v>
      </c>
      <c r="J112" s="82" t="n">
        <v>0</v>
      </c>
      <c r="K112" s="82" t="n">
        <v>0</v>
      </c>
      <c r="L112" s="82" t="n">
        <v>0</v>
      </c>
      <c r="M112" s="82" t="n">
        <v>0</v>
      </c>
      <c r="N112" s="82" t="n">
        <v>0</v>
      </c>
      <c r="O112" s="82" t="n">
        <v>15000</v>
      </c>
      <c r="P112" s="83" t="n"/>
      <c r="Q112" s="84" t="n">
        <v>0</v>
      </c>
    </row>
    <row r="113">
      <c r="A113" s="78" t="n"/>
      <c r="B113" s="149" t="inlineStr">
        <is>
          <t>Gold/Silver</t>
        </is>
      </c>
      <c r="C113" s="62" t="n">
        <v>5400</v>
      </c>
      <c r="D113" s="82" t="n">
        <v>0</v>
      </c>
      <c r="E113" s="82" t="n">
        <v>0</v>
      </c>
      <c r="F113" s="82" t="n">
        <v>0</v>
      </c>
      <c r="G113" s="82" t="n">
        <v>0</v>
      </c>
      <c r="H113" s="82" t="n">
        <v>0</v>
      </c>
      <c r="I113" s="82" t="n">
        <v>0</v>
      </c>
      <c r="J113" s="82" t="n">
        <v>0</v>
      </c>
      <c r="K113" s="82" t="n">
        <v>0</v>
      </c>
      <c r="L113" s="82" t="n">
        <v>0</v>
      </c>
      <c r="M113" s="82" t="n">
        <v>0</v>
      </c>
      <c r="N113" s="82" t="n">
        <v>0</v>
      </c>
      <c r="O113" s="82" t="n">
        <v>5400</v>
      </c>
      <c r="P113" s="83" t="n"/>
      <c r="Q113" s="84" t="n">
        <v>0</v>
      </c>
    </row>
    <row r="114">
      <c r="A114" s="78" t="n"/>
      <c r="B114" s="149" t="inlineStr">
        <is>
          <t>Cash</t>
        </is>
      </c>
      <c r="C114" s="62" t="n">
        <v>500</v>
      </c>
      <c r="D114" s="82">
        <f>C114+D11</f>
        <v/>
      </c>
      <c r="E114" s="82">
        <f>D114+E11</f>
        <v/>
      </c>
      <c r="F114" s="82">
        <f>E114+F11</f>
        <v/>
      </c>
      <c r="G114" s="82">
        <f>F114+G11</f>
        <v/>
      </c>
      <c r="H114" s="82">
        <f>G114+H11</f>
        <v/>
      </c>
      <c r="I114" s="82">
        <f>H114+I11</f>
        <v/>
      </c>
      <c r="J114" s="82">
        <f>I114+J11</f>
        <v/>
      </c>
      <c r="K114" s="82">
        <f>J114+K11</f>
        <v/>
      </c>
      <c r="L114" s="82">
        <f>K114+L11</f>
        <v/>
      </c>
      <c r="M114" s="82">
        <f>L114+M11</f>
        <v/>
      </c>
      <c r="N114" s="82">
        <f>M114+N11</f>
        <v/>
      </c>
      <c r="O114" s="82">
        <f>N114+O11</f>
        <v/>
      </c>
      <c r="P114" s="83" t="n"/>
      <c r="Q114" s="84">
        <f>O114-C114</f>
        <v/>
      </c>
    </row>
    <row r="115">
      <c r="A115" s="78" t="n"/>
      <c r="B115" s="149" t="inlineStr">
        <is>
          <t>401k (TRMB)</t>
        </is>
      </c>
      <c r="C115" s="62" t="n">
        <v>11700</v>
      </c>
      <c r="D115" s="82">
        <f>C115+D34</f>
        <v/>
      </c>
      <c r="E115" s="82">
        <f>D115+E34</f>
        <v/>
      </c>
      <c r="F115" s="82">
        <f>E115+F34</f>
        <v/>
      </c>
      <c r="G115" s="82">
        <f>F115+G34</f>
        <v/>
      </c>
      <c r="H115" s="82">
        <f>G115+H34</f>
        <v/>
      </c>
      <c r="I115" s="82">
        <f>H115+I34</f>
        <v/>
      </c>
      <c r="J115" s="82">
        <f>I115+J34</f>
        <v/>
      </c>
      <c r="K115" s="82">
        <f>J115+K34</f>
        <v/>
      </c>
      <c r="L115" s="82">
        <f>K115+L34</f>
        <v/>
      </c>
      <c r="M115" s="82">
        <f>L115+M34</f>
        <v/>
      </c>
      <c r="N115" s="82">
        <f>M115+N34</f>
        <v/>
      </c>
      <c r="O115" s="82">
        <f>N115+O34</f>
        <v/>
      </c>
      <c r="P115" s="83" t="n"/>
      <c r="Q115" s="84">
        <f>O115-C115</f>
        <v/>
      </c>
    </row>
    <row r="116">
      <c r="A116" s="78" t="n"/>
      <c r="B116" s="149" t="inlineStr">
        <is>
          <t>401k (BorkerageLink)</t>
        </is>
      </c>
      <c r="C116" s="62" t="n">
        <v>10100</v>
      </c>
      <c r="D116" s="82">
        <f>C116+D33+($D$15*0.04)</f>
        <v/>
      </c>
      <c r="E116" s="82">
        <f>D116+E33+($D$15*0.04)</f>
        <v/>
      </c>
      <c r="F116" s="82">
        <f>E116+F33+($D$15*0.04)</f>
        <v/>
      </c>
      <c r="G116" s="82">
        <f>F116+G33+($D$15*0.04)</f>
        <v/>
      </c>
      <c r="H116" s="82">
        <f>G116+H33+($D$15*0.04)</f>
        <v/>
      </c>
      <c r="I116" s="82">
        <f>H116+I33+($D$15*0.04)</f>
        <v/>
      </c>
      <c r="J116" s="82">
        <f>I116+J33+($D$15*0.04)</f>
        <v/>
      </c>
      <c r="K116" s="82">
        <f>J116+K33+($D$15*0.04)</f>
        <v/>
      </c>
      <c r="L116" s="82">
        <f>K116+L33+($D$15*0.04)</f>
        <v/>
      </c>
      <c r="M116" s="82">
        <f>L116+M33+($D$15*0.04)</f>
        <v/>
      </c>
      <c r="N116" s="82">
        <f>M116+N33+($D$15*0.04)</f>
        <v/>
      </c>
      <c r="O116" s="82">
        <f>N116+O33+($D$15*0.04)</f>
        <v/>
      </c>
      <c r="P116" s="83" t="n"/>
      <c r="Q116" s="84">
        <f>O116-C116</f>
        <v/>
      </c>
    </row>
    <row r="117">
      <c r="A117" s="78" t="n"/>
      <c r="B117" s="149" t="inlineStr">
        <is>
          <t>Other</t>
        </is>
      </c>
      <c r="C117" s="62" t="n">
        <v>0</v>
      </c>
      <c r="D117" s="82" t="n">
        <v>0</v>
      </c>
      <c r="E117" s="82" t="n">
        <v>0</v>
      </c>
      <c r="F117" s="82" t="n">
        <v>0</v>
      </c>
      <c r="G117" s="82" t="n">
        <v>0</v>
      </c>
      <c r="H117" s="82" t="n">
        <v>0</v>
      </c>
      <c r="I117" s="82" t="n">
        <v>0</v>
      </c>
      <c r="J117" s="82" t="n">
        <v>0</v>
      </c>
      <c r="K117" s="82" t="n">
        <v>0</v>
      </c>
      <c r="L117" s="82" t="n">
        <v>0</v>
      </c>
      <c r="M117" s="82" t="n">
        <v>0</v>
      </c>
      <c r="N117" s="82" t="n">
        <v>0</v>
      </c>
      <c r="O117" s="82" t="n">
        <v>0</v>
      </c>
      <c r="P117" s="83" t="n"/>
      <c r="Q117" s="84" t="n">
        <v>0</v>
      </c>
    </row>
    <row r="118">
      <c r="A118" s="78" t="n"/>
      <c r="B118" s="76" t="n"/>
      <c r="C118" s="6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9" t="n"/>
      <c r="Q118" s="90" t="n"/>
    </row>
    <row r="119">
      <c r="A119" s="78" t="n"/>
      <c r="B119" s="72" t="inlineStr">
        <is>
          <t>TOTAL ASSETS</t>
        </is>
      </c>
      <c r="C119" s="73">
        <f>sum(C111:C117)</f>
        <v/>
      </c>
      <c r="D119" s="73">
        <f>sum(D111:D113)</f>
        <v/>
      </c>
      <c r="E119" s="73">
        <f>sum(E111:E113)</f>
        <v/>
      </c>
      <c r="F119" s="73">
        <f>sum(F111:F113)</f>
        <v/>
      </c>
      <c r="G119" s="73">
        <f>sum(G111:G113)</f>
        <v/>
      </c>
      <c r="H119" s="73">
        <f>sum(H111:H113)</f>
        <v/>
      </c>
      <c r="I119" s="73">
        <f>sum(I111:I113)</f>
        <v/>
      </c>
      <c r="J119" s="73">
        <f>sum(J111:J113)</f>
        <v/>
      </c>
      <c r="K119" s="73">
        <f>sum(K111:K113)</f>
        <v/>
      </c>
      <c r="L119" s="73">
        <f>sum(L111:L113)</f>
        <v/>
      </c>
      <c r="M119" s="73">
        <f>sum(M111:M113)</f>
        <v/>
      </c>
      <c r="N119" s="73">
        <f>sum(N111:N113)</f>
        <v/>
      </c>
      <c r="O119" s="73">
        <f>Sum(O111:O117)</f>
        <v/>
      </c>
      <c r="P119" s="91" t="n"/>
      <c r="Q119" s="75">
        <f>SUM(Q111:Q118)</f>
        <v/>
      </c>
    </row>
  </sheetData>
  <mergeCells count="5">
    <mergeCell ref="B6:C6"/>
    <mergeCell ref="B2:C2"/>
    <mergeCell ref="B3:C3"/>
    <mergeCell ref="B5:C5"/>
    <mergeCell ref="B97:Q97"/>
  </mergeCells>
  <conditionalFormatting sqref="D9:O11 D38:O95 D101:O104 D107:O107 D110:O117 Q38:Q40">
    <cfRule type="cellIs" priority="1" operator="lessThan" dxfId="0">
      <formula>0</formula>
    </cfRule>
  </conditionalFormatting>
  <conditionalFormatting sqref="D15:O20">
    <cfRule type="cellIs" priority="2" operator="lessThan" dxfId="0">
      <formula>0</formula>
    </cfRule>
  </conditionalFormatting>
  <conditionalFormatting sqref="D23:O28">
    <cfRule type="cellIs" priority="3" operator="lessThan" dxfId="0">
      <formula>0</formula>
    </cfRule>
  </conditionalFormatting>
  <conditionalFormatting sqref="D30:O30 Q30">
    <cfRule type="cellIs" priority="4" operator="lessThan" dxfId="0">
      <formula>0</formula>
    </cfRule>
  </conditionalFormatting>
  <conditionalFormatting sqref="C40 D33:O36">
    <cfRule type="cellIs" priority="5" operator="lessThan" dxfId="0">
      <formula>0</formula>
    </cfRule>
  </conditionalFormatting>
  <conditionalFormatting sqref="Q9:Q11">
    <cfRule type="cellIs" priority="6" operator="lessThan" dxfId="0">
      <formula>0</formula>
    </cfRule>
  </conditionalFormatting>
  <conditionalFormatting sqref="Q15:Q20 Q33:Q36 Q54:Q60 Q83:Q89 Q91:Q95">
    <cfRule type="cellIs" priority="7" operator="lessThan" dxfId="0">
      <formula>0</formula>
    </cfRule>
  </conditionalFormatting>
  <conditionalFormatting sqref="Q23:Q28">
    <cfRule type="cellIs" priority="8" operator="lessThan" dxfId="0">
      <formula>0</formula>
    </cfRule>
  </conditionalFormatting>
  <conditionalFormatting sqref="Q42:Q52">
    <cfRule type="cellIs" priority="9" operator="lessThan" dxfId="0">
      <formula>0</formula>
    </cfRule>
  </conditionalFormatting>
  <conditionalFormatting sqref="Q62:Q68 Q70:Q81 Q101:Q108 Q110:Q119">
    <cfRule type="cellIs" priority="10" operator="lessThan" dxfId="0">
      <formula>0</formula>
    </cfRule>
  </conditionalFormatting>
  <hyperlinks>
    <hyperlink xmlns:r="http://schemas.openxmlformats.org/officeDocument/2006/relationships" ref="B10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2026-07-07T23:50:52Z</dcterms:created>
  <dcterms:modified xmlns:dcterms="http://purl.org/dc/terms/" xmlns:xsi="http://www.w3.org/2001/XMLSchema-instance" xsi:type="dcterms:W3CDTF">2026-07-07T23:50:54Z</dcterms:modified>
</cp:coreProperties>
</file>