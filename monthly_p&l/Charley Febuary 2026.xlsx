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harley Febuar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(&quot;$&quot;* #,##0_);_(&quot;$&quot;* \(#,##0\);_(&quot;$&quot;* &quot;-&quot;??_);_(@_)"/>
    <numFmt numFmtId="166" formatCode="&quot;$&quot;#,##0"/>
  </numFmts>
  <fonts count="35">
    <font>
      <name val="Calibri"/>
      <color rgb="FF000000"/>
      <sz val="11"/>
      <scheme val="minor"/>
    </font>
    <font>
      <name val="Century Gothic"/>
      <b val="1"/>
      <color rgb="FF595959"/>
      <sz val="22"/>
    </font>
    <font>
      <name val="Century Gothic"/>
      <b val="1"/>
      <color rgb="FF7F7F7F"/>
      <sz val="20"/>
    </font>
    <font>
      <name val="Arial"/>
      <color rgb="FF000000"/>
      <sz val="12"/>
    </font>
    <font>
      <name val="Century Gothic"/>
      <b val="1"/>
      <color theme="0"/>
      <sz val="10"/>
    </font>
    <font/>
    <font>
      <name val="Century Gothic"/>
      <i val="1"/>
      <color rgb="FF000000"/>
      <sz val="10"/>
    </font>
    <font>
      <name val="Calibri"/>
      <color rgb="FF000000"/>
      <sz val="12"/>
    </font>
    <font>
      <name val="Arial"/>
      <b val="1"/>
      <color rgb="FF000000"/>
      <sz val="12"/>
    </font>
    <font>
      <name val="Century Gothic"/>
      <color theme="1"/>
      <sz val="14"/>
    </font>
    <font>
      <name val="Century Gothic"/>
      <b val="1"/>
      <color rgb="FF000000"/>
      <sz val="10"/>
    </font>
    <font>
      <name val="Century Gothic"/>
      <color rgb="FF000000"/>
      <sz val="10"/>
    </font>
    <font>
      <name val="Century Gothic"/>
      <b val="1"/>
      <color theme="0"/>
      <sz val="12"/>
    </font>
    <font>
      <name val="Calibri"/>
      <b val="1"/>
      <color rgb="FF000000"/>
      <sz val="12"/>
    </font>
    <font>
      <name val="Century Gothic"/>
      <b val="1"/>
      <color rgb="FFFFFFFF"/>
      <sz val="12"/>
    </font>
    <font>
      <name val="Arial"/>
      <color theme="1"/>
      <sz val="12"/>
    </font>
    <font>
      <name val="Century Gothic"/>
      <b val="1"/>
      <color rgb="FFFFFFFF"/>
      <sz val="10"/>
    </font>
    <font>
      <name val="Century Gothic"/>
      <b val="1"/>
      <color rgb="FFFFFFFF"/>
      <sz val="22"/>
      <u val="single"/>
    </font>
    <font>
      <name val="Calibri"/>
      <color theme="1"/>
      <sz val="11"/>
    </font>
    <font>
      <name val="Century Gothic"/>
      <b val="1"/>
      <color rgb="FFFFFFFF"/>
    </font>
    <font>
      <name val="Century Gothic"/>
      <b val="1"/>
      <color rgb="FFFFFFFF"/>
      <sz val="10"/>
      <u val="single"/>
    </font>
    <font>
      <name val="Century Gothic"/>
      <color theme="1"/>
      <sz val="10"/>
    </font>
    <font>
      <name val="Century Gothic"/>
      <color theme="1"/>
    </font>
    <font>
      <name val="Calibri"/>
      <b val="1"/>
      <color theme="1"/>
      <sz val="25"/>
    </font>
    <font>
      <name val="Calibri"/>
      <b val="1"/>
      <color theme="1"/>
      <sz val="17"/>
    </font>
    <font>
      <name val="Calibri"/>
      <b val="1"/>
      <color theme="1"/>
      <sz val="16"/>
    </font>
    <font>
      <name val="Calibri"/>
      <color theme="1"/>
      <scheme val="minor"/>
    </font>
    <font>
      <name val="Verdana"/>
      <b val="1"/>
      <color theme="1"/>
    </font>
    <font>
      <name val="Calibri"/>
      <b val="1"/>
      <color rgb="FFE06666"/>
    </font>
    <font>
      <name val="Calibri"/>
      <color theme="1"/>
    </font>
    <font>
      <name val="Calibri"/>
      <color theme="1"/>
      <sz val="12"/>
    </font>
    <font>
      <name val="Calibri"/>
      <color rgb="FF000000"/>
      <sz val="13"/>
    </font>
    <font>
      <name val="Calibri"/>
      <color rgb="FFE06666"/>
    </font>
    <font>
      <name val="Arial"/>
      <color theme="1"/>
    </font>
    <font>
      <name val="Century Gothic"/>
      <color rgb="FF000000"/>
      <sz val="12"/>
    </font>
  </fonts>
  <fills count="20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071420"/>
        <bgColor rgb="FF071420"/>
      </patternFill>
    </fill>
    <fill>
      <patternFill patternType="solid">
        <fgColor rgb="FFB8D4EF"/>
        <bgColor rgb="FFB8D4EF"/>
      </patternFill>
    </fill>
    <fill>
      <patternFill patternType="solid">
        <fgColor rgb="FFD8D8D8"/>
        <bgColor rgb="FFD8D8D8"/>
      </patternFill>
    </fill>
    <fill>
      <patternFill patternType="solid">
        <fgColor rgb="FF0A1E30"/>
        <bgColor rgb="FF0A1E30"/>
      </patternFill>
    </fill>
    <fill>
      <patternFill patternType="solid">
        <fgColor rgb="FF00BD32"/>
        <bgColor rgb="FF00BD32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BFBFBF"/>
        <bgColor rgb="FFBFBFB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</fills>
  <borders count="28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double">
        <color rgb="FFBFBFBF"/>
      </top>
      <bottom style="medium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</borders>
  <cellStyleXfs count="1">
    <xf numFmtId="0" fontId="0" fillId="0" borderId="0"/>
  </cellStyleXfs>
  <cellXfs count="15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1" pivotButton="0" quotePrefix="0" xfId="0"/>
    <xf numFmtId="0" fontId="4" fillId="4" borderId="2" applyAlignment="1" pivotButton="0" quotePrefix="0" xfId="0">
      <alignment horizontal="left" vertical="center" wrapText="1"/>
    </xf>
    <xf numFmtId="0" fontId="5" fillId="0" borderId="3" pivotButton="0" quotePrefix="0" xfId="0"/>
    <xf numFmtId="0" fontId="6" fillId="0" borderId="0" applyAlignment="1" pivotButton="0" quotePrefix="0" xfId="0">
      <alignment horizontal="left" vertical="center"/>
    </xf>
    <xf numFmtId="0" fontId="7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left" vertical="center" wrapText="1"/>
    </xf>
    <xf numFmtId="0" fontId="5" fillId="0" borderId="5" pivotButton="0" quotePrefix="0" xfId="0"/>
    <xf numFmtId="0" fontId="10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wrapText="1"/>
    </xf>
    <xf numFmtId="0" fontId="7" fillId="3" borderId="1" applyAlignment="1" pivotButton="0" quotePrefix="0" xfId="0">
      <alignment horizontal="left" wrapText="1"/>
    </xf>
    <xf numFmtId="0" fontId="11" fillId="0" borderId="0" applyAlignment="1" pivotButton="0" quotePrefix="0" xfId="0">
      <alignment wrapText="1"/>
    </xf>
    <xf numFmtId="0" fontId="4" fillId="6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right" vertical="center"/>
    </xf>
    <xf numFmtId="164" fontId="11" fillId="7" borderId="6" applyAlignment="1" pivotButton="0" quotePrefix="0" xfId="0">
      <alignment horizontal="left" vertical="center"/>
    </xf>
    <xf numFmtId="165" fontId="10" fillId="7" borderId="6" applyAlignment="1" pivotButton="0" quotePrefix="0" xfId="0">
      <alignment horizontal="left" vertical="center"/>
    </xf>
    <xf numFmtId="164" fontId="11" fillId="3" borderId="1" applyAlignment="1" pivotButton="0" quotePrefix="0" xfId="0">
      <alignment horizontal="left" vertical="center"/>
    </xf>
    <xf numFmtId="164" fontId="11" fillId="7" borderId="1" applyAlignment="1" pivotButton="0" quotePrefix="0" xfId="0">
      <alignment horizontal="left" vertical="center"/>
    </xf>
    <xf numFmtId="165" fontId="10" fillId="7" borderId="7" applyAlignment="1" pivotButton="0" quotePrefix="0" xfId="0">
      <alignment horizontal="left" vertical="center"/>
    </xf>
    <xf numFmtId="164" fontId="11" fillId="8" borderId="8" applyAlignment="1" pivotButton="0" quotePrefix="0" xfId="0">
      <alignment horizontal="left" vertical="center"/>
    </xf>
    <xf numFmtId="165" fontId="10" fillId="8" borderId="8" applyAlignment="1" pivotButton="0" quotePrefix="0" xfId="0">
      <alignment horizontal="left" vertical="center"/>
    </xf>
    <xf numFmtId="0" fontId="12" fillId="6" borderId="9" applyAlignment="1" pivotButton="0" quotePrefix="0" xfId="0">
      <alignment horizontal="left" vertical="center"/>
    </xf>
    <xf numFmtId="0" fontId="4" fillId="9" borderId="6" applyAlignment="1" pivotButton="0" quotePrefix="0" xfId="0">
      <alignment horizontal="center" vertical="center"/>
    </xf>
    <xf numFmtId="0" fontId="11" fillId="5" borderId="6" applyAlignment="1" pivotButton="0" quotePrefix="0" xfId="0">
      <alignment horizontal="left" vertical="center"/>
    </xf>
    <xf numFmtId="164" fontId="11" fillId="0" borderId="6" applyAlignment="1" pivotButton="0" quotePrefix="0" xfId="0">
      <alignment horizontal="left" vertical="center"/>
    </xf>
    <xf numFmtId="165" fontId="11" fillId="3" borderId="6" applyAlignment="1" pivotButton="0" quotePrefix="0" xfId="0">
      <alignment horizontal="left" vertical="center"/>
    </xf>
    <xf numFmtId="165" fontId="11" fillId="3" borderId="6" applyAlignment="1" pivotButton="0" quotePrefix="0" xfId="0">
      <alignment horizontal="left" vertical="center"/>
    </xf>
    <xf numFmtId="0" fontId="13" fillId="3" borderId="1" pivotButton="0" quotePrefix="0" xfId="0"/>
    <xf numFmtId="0" fontId="11" fillId="5" borderId="6" applyAlignment="1" pivotButton="0" quotePrefix="0" xfId="0">
      <alignment horizontal="left" vertical="center"/>
    </xf>
    <xf numFmtId="165" fontId="11" fillId="5" borderId="6" applyAlignment="1" pivotButton="0" quotePrefix="0" xfId="0">
      <alignment horizontal="left" vertical="center"/>
    </xf>
    <xf numFmtId="165" fontId="11" fillId="5" borderId="6" applyAlignment="1" pivotButton="0" quotePrefix="0" xfId="0">
      <alignment horizontal="left" vertical="center"/>
    </xf>
    <xf numFmtId="10" fontId="11" fillId="3" borderId="1" applyAlignment="1" pivotButton="0" quotePrefix="0" xfId="0">
      <alignment horizontal="left" vertical="center"/>
    </xf>
    <xf numFmtId="0" fontId="14" fillId="6" borderId="9" applyAlignment="1" pivotButton="0" quotePrefix="0" xfId="0">
      <alignment horizontal="left" vertical="center"/>
    </xf>
    <xf numFmtId="9" fontId="7" fillId="3" borderId="1" pivotButton="0" quotePrefix="0" xfId="0"/>
    <xf numFmtId="0" fontId="4" fillId="6" borderId="10" applyAlignment="1" pivotButton="0" quotePrefix="0" xfId="0">
      <alignment vertical="center"/>
    </xf>
    <xf numFmtId="0" fontId="4" fillId="6" borderId="11" applyAlignment="1" pivotButton="0" quotePrefix="0" xfId="0">
      <alignment vertical="center"/>
    </xf>
    <xf numFmtId="0" fontId="4" fillId="6" borderId="6" applyAlignment="1" pivotButton="0" quotePrefix="0" xfId="0">
      <alignment vertical="center"/>
    </xf>
    <xf numFmtId="0" fontId="4" fillId="9" borderId="12" applyAlignment="1" pivotButton="0" quotePrefix="0" xfId="0">
      <alignment horizontal="left" vertical="center"/>
    </xf>
    <xf numFmtId="0" fontId="4" fillId="9" borderId="13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15" fillId="0" borderId="0" pivotButton="0" quotePrefix="0" xfId="0"/>
    <xf numFmtId="0" fontId="11" fillId="3" borderId="1" applyAlignment="1" pivotButton="0" quotePrefix="0" xfId="0">
      <alignment horizontal="left" vertical="center"/>
    </xf>
    <xf numFmtId="0" fontId="4" fillId="9" borderId="9" applyAlignment="1" pivotButton="0" quotePrefix="0" xfId="0">
      <alignment horizontal="left" vertical="center"/>
    </xf>
    <xf numFmtId="0" fontId="16" fillId="9" borderId="9" applyAlignment="1" pivotButton="0" quotePrefix="0" xfId="0">
      <alignment horizontal="left" vertical="center"/>
    </xf>
    <xf numFmtId="0" fontId="11" fillId="3" borderId="14" applyAlignment="1" pivotButton="0" quotePrefix="0" xfId="0">
      <alignment horizontal="left" vertical="center"/>
    </xf>
    <xf numFmtId="0" fontId="7" fillId="3" borderId="14" pivotButton="0" quotePrefix="0" xfId="0"/>
    <xf numFmtId="0" fontId="12" fillId="9" borderId="9" applyAlignment="1" pivotButton="0" quotePrefix="0" xfId="0">
      <alignment horizontal="left" vertical="center"/>
    </xf>
    <xf numFmtId="0" fontId="8" fillId="3" borderId="1" applyAlignment="1" pivotButton="0" quotePrefix="0" xfId="0">
      <alignment vertical="center"/>
    </xf>
    <xf numFmtId="0" fontId="17" fillId="10" borderId="15" applyAlignment="1" pivotButton="0" quotePrefix="0" xfId="0">
      <alignment horizontal="center" vertical="center"/>
    </xf>
    <xf numFmtId="0" fontId="5" fillId="0" borderId="16" pivotButton="0" quotePrefix="0" xfId="0"/>
    <xf numFmtId="0" fontId="5" fillId="0" borderId="17" pivotButton="0" quotePrefix="0" xfId="0"/>
    <xf numFmtId="0" fontId="18" fillId="3" borderId="1" applyAlignment="1" pivotButton="0" quotePrefix="0" xfId="0">
      <alignment vertical="bottom"/>
    </xf>
    <xf numFmtId="0" fontId="14" fillId="9" borderId="9" applyAlignment="1" pivotButton="0" quotePrefix="0" xfId="0">
      <alignment vertical="center"/>
    </xf>
    <xf numFmtId="0" fontId="19" fillId="9" borderId="6" applyAlignment="1" pivotButton="0" quotePrefix="0" xfId="0">
      <alignment horizontal="center" vertical="center"/>
    </xf>
    <xf numFmtId="0" fontId="19" fillId="9" borderId="6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/>
    </xf>
    <xf numFmtId="0" fontId="19" fillId="9" borderId="18" applyAlignment="1" pivotButton="0" quotePrefix="0" xfId="0">
      <alignment horizontal="center" vertical="center"/>
    </xf>
    <xf numFmtId="0" fontId="18" fillId="0" borderId="0" applyAlignment="1" pivotButton="0" quotePrefix="0" xfId="0">
      <alignment vertical="bottom"/>
    </xf>
    <xf numFmtId="0" fontId="11" fillId="11" borderId="19" applyAlignment="1" pivotButton="0" quotePrefix="0" xfId="0">
      <alignment horizontal="left" vertical="center"/>
    </xf>
    <xf numFmtId="165" fontId="10" fillId="3" borderId="19" applyAlignment="1" pivotButton="0" quotePrefix="0" xfId="0">
      <alignment vertical="center"/>
    </xf>
    <xf numFmtId="165" fontId="11" fillId="3" borderId="19" applyAlignment="1" pivotButton="0" quotePrefix="0" xfId="0">
      <alignment horizontal="left" vertical="center"/>
    </xf>
    <xf numFmtId="0" fontId="11" fillId="3" borderId="16" applyAlignment="1" pivotButton="0" quotePrefix="0" xfId="0">
      <alignment vertical="center"/>
    </xf>
    <xf numFmtId="165" fontId="10" fillId="3" borderId="19" applyAlignment="1" pivotButton="0" quotePrefix="0" xfId="0">
      <alignment horizontal="left" vertical="center"/>
    </xf>
    <xf numFmtId="0" fontId="7" fillId="3" borderId="17" pivotButton="0" quotePrefix="0" xfId="0"/>
    <xf numFmtId="0" fontId="11" fillId="3" borderId="0" applyAlignment="1" pivotButton="0" quotePrefix="0" xfId="0">
      <alignment horizontal="left" vertical="center"/>
    </xf>
    <xf numFmtId="165" fontId="10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/>
    </xf>
    <xf numFmtId="0" fontId="16" fillId="12" borderId="19" applyAlignment="1" pivotButton="0" quotePrefix="0" xfId="0">
      <alignment horizontal="left" vertical="center"/>
    </xf>
    <xf numFmtId="165" fontId="10" fillId="7" borderId="19" applyAlignment="1" pivotButton="0" quotePrefix="0" xfId="0">
      <alignment vertical="center"/>
    </xf>
    <xf numFmtId="0" fontId="10" fillId="0" borderId="16" applyAlignment="1" pivotButton="0" quotePrefix="0" xfId="0">
      <alignment vertical="center"/>
    </xf>
    <xf numFmtId="165" fontId="10" fillId="7" borderId="19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1" fillId="0" borderId="1" applyAlignment="1" pivotButton="0" quotePrefix="0" xfId="0">
      <alignment vertical="center"/>
    </xf>
    <xf numFmtId="0" fontId="7" fillId="3" borderId="1" pivotButton="0" quotePrefix="0" xfId="0"/>
    <xf numFmtId="0" fontId="20" fillId="12" borderId="19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7" fillId="3" borderId="14" applyAlignment="1" pivotButton="0" quotePrefix="0" xfId="0">
      <alignment vertical="center"/>
    </xf>
    <xf numFmtId="165" fontId="11" fillId="3" borderId="19" applyAlignment="1" pivotButton="0" quotePrefix="0" xfId="0">
      <alignment horizontal="left" vertical="center"/>
    </xf>
    <xf numFmtId="165" fontId="11" fillId="3" borderId="16" applyAlignment="1" pivotButton="0" quotePrefix="0" xfId="0">
      <alignment vertical="center"/>
    </xf>
    <xf numFmtId="165" fontId="10" fillId="3" borderId="19" applyAlignment="1" pivotButton="0" quotePrefix="0" xfId="0">
      <alignment horizontal="left" vertical="center"/>
    </xf>
    <xf numFmtId="0" fontId="21" fillId="11" borderId="19" applyAlignment="1" pivotButton="0" quotePrefix="0" xfId="0">
      <alignment vertical="center"/>
    </xf>
    <xf numFmtId="165" fontId="11" fillId="3" borderId="19" applyAlignment="1" pivotButton="0" quotePrefix="0" xfId="0">
      <alignment vertical="center"/>
    </xf>
    <xf numFmtId="166" fontId="7" fillId="3" borderId="1" pivotButton="0" quotePrefix="0" xfId="0"/>
    <xf numFmtId="165" fontId="11" fillId="3" borderId="0" applyAlignment="1" pivotButton="0" quotePrefix="0" xfId="0">
      <alignment vertical="center"/>
    </xf>
    <xf numFmtId="165" fontId="11" fillId="3" borderId="1" applyAlignment="1" pivotButton="0" quotePrefix="0" xfId="0">
      <alignment vertical="center"/>
    </xf>
    <xf numFmtId="165" fontId="11" fillId="3" borderId="0" applyAlignment="1" pivotButton="0" quotePrefix="0" xfId="0">
      <alignment horizontal="left" vertical="center"/>
    </xf>
    <xf numFmtId="165" fontId="10" fillId="0" borderId="16" applyAlignment="1" pivotButton="0" quotePrefix="0" xfId="0">
      <alignment vertical="center"/>
    </xf>
    <xf numFmtId="3" fontId="10" fillId="7" borderId="19" applyAlignment="1" pivotButton="0" quotePrefix="0" xfId="0">
      <alignment vertical="center"/>
    </xf>
    <xf numFmtId="4" fontId="7" fillId="3" borderId="1" pivotButton="0" quotePrefix="0" xfId="0"/>
    <xf numFmtId="0" fontId="22" fillId="5" borderId="6" pivotButton="0" quotePrefix="0" xfId="0"/>
    <xf numFmtId="164" fontId="18" fillId="0" borderId="6" pivotButton="0" quotePrefix="0" xfId="0"/>
    <xf numFmtId="165" fontId="21" fillId="5" borderId="6" applyAlignment="1" pivotButton="0" quotePrefix="0" xfId="0">
      <alignment vertical="center"/>
    </xf>
    <xf numFmtId="165" fontId="18" fillId="5" borderId="6" pivotButton="0" quotePrefix="0" xfId="0"/>
    <xf numFmtId="165" fontId="22" fillId="5" borderId="6" pivotButton="0" quotePrefix="0" xfId="0"/>
    <xf numFmtId="10" fontId="18" fillId="3" borderId="1" pivotButton="0" quotePrefix="0" xfId="0"/>
    <xf numFmtId="165" fontId="22" fillId="3" borderId="19" pivotButton="0" quotePrefix="0" xfId="0"/>
    <xf numFmtId="165" fontId="11" fillId="13" borderId="6" applyAlignment="1" pivotButton="0" quotePrefix="0" xfId="0">
      <alignment horizontal="left" vertical="center"/>
    </xf>
    <xf numFmtId="165" fontId="11" fillId="0" borderId="6" applyAlignment="1" pivotButton="0" quotePrefix="0" xfId="0">
      <alignment horizontal="left" vertical="center"/>
    </xf>
    <xf numFmtId="165" fontId="10" fillId="14" borderId="6" applyAlignment="1" pivotButton="0" quotePrefix="0" xfId="0">
      <alignment horizontal="left" vertical="center"/>
    </xf>
    <xf numFmtId="165" fontId="11" fillId="0" borderId="19" applyAlignment="1" pivotButton="0" quotePrefix="0" xfId="0">
      <alignment vertical="center"/>
    </xf>
    <xf numFmtId="165" fontId="11" fillId="0" borderId="19" applyAlignment="1" pivotButton="0" quotePrefix="0" xfId="0">
      <alignment horizontal="left" vertical="center"/>
    </xf>
    <xf numFmtId="0" fontId="23" fillId="0" borderId="0" applyAlignment="1" pivotButton="0" quotePrefix="0" xfId="0">
      <alignment horizontal="right" vertical="bottom"/>
    </xf>
    <xf numFmtId="0" fontId="24" fillId="0" borderId="0" applyAlignment="1" pivotButton="0" quotePrefix="0" xfId="0">
      <alignment vertical="bottom"/>
    </xf>
    <xf numFmtId="0" fontId="25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top"/>
    </xf>
    <xf numFmtId="0" fontId="25" fillId="0" borderId="0" applyAlignment="1" pivotButton="0" quotePrefix="0" xfId="0">
      <alignment horizontal="center"/>
    </xf>
    <xf numFmtId="0" fontId="26" fillId="15" borderId="0" pivotButton="0" quotePrefix="0" xfId="0"/>
    <xf numFmtId="0" fontId="27" fillId="16" borderId="20" applyAlignment="1" pivotButton="0" quotePrefix="0" xfId="0">
      <alignment horizontal="center" wrapText="1"/>
    </xf>
    <xf numFmtId="0" fontId="18" fillId="0" borderId="21" applyAlignment="1" pivotButton="0" quotePrefix="0" xfId="0">
      <alignment vertical="bottom"/>
    </xf>
    <xf numFmtId="0" fontId="28" fillId="0" borderId="22" applyAlignment="1" pivotButton="0" quotePrefix="0" xfId="0">
      <alignment horizontal="center" vertical="bottom"/>
    </xf>
    <xf numFmtId="0" fontId="29" fillId="0" borderId="21" applyAlignment="1" pivotButton="0" quotePrefix="0" xfId="0">
      <alignment horizontal="center" vertical="bottom"/>
    </xf>
    <xf numFmtId="0" fontId="18" fillId="0" borderId="0" pivotButton="0" quotePrefix="0" xfId="0"/>
    <xf numFmtId="0" fontId="29" fillId="0" borderId="22" applyAlignment="1" pivotButton="0" quotePrefix="0" xfId="0">
      <alignment horizontal="center" vertical="bottom"/>
    </xf>
    <xf numFmtId="0" fontId="29" fillId="0" borderId="23" applyAlignment="1" pivotButton="0" quotePrefix="0" xfId="0">
      <alignment horizontal="center" vertical="bottom"/>
    </xf>
    <xf numFmtId="0" fontId="30" fillId="13" borderId="0" applyAlignment="1" pivotButton="0" quotePrefix="0" xfId="0">
      <alignment vertical="bottom"/>
    </xf>
    <xf numFmtId="0" fontId="31" fillId="13" borderId="0" applyAlignment="1" pivotButton="0" quotePrefix="0" xfId="0">
      <alignment vertical="bottom"/>
    </xf>
    <xf numFmtId="0" fontId="18" fillId="17" borderId="0" applyAlignment="1" pivotButton="0" quotePrefix="0" xfId="0">
      <alignment vertical="bottom"/>
    </xf>
    <xf numFmtId="0" fontId="31" fillId="17" borderId="0" applyAlignment="1" pivotButton="0" quotePrefix="0" xfId="0">
      <alignment vertical="bottom"/>
    </xf>
    <xf numFmtId="0" fontId="29" fillId="13" borderId="22" applyAlignment="1" pivotButton="0" quotePrefix="0" xfId="0">
      <alignment horizontal="center" vertical="bottom"/>
    </xf>
    <xf numFmtId="0" fontId="30" fillId="18" borderId="0" applyAlignment="1" pivotButton="0" quotePrefix="0" xfId="0">
      <alignment vertical="bottom"/>
    </xf>
    <xf numFmtId="0" fontId="31" fillId="18" borderId="0" applyAlignment="1" pivotButton="0" quotePrefix="0" xfId="0">
      <alignment vertical="bottom"/>
    </xf>
    <xf numFmtId="0" fontId="29" fillId="15" borderId="22" applyAlignment="1" pivotButton="0" quotePrefix="0" xfId="0">
      <alignment horizontal="center" vertical="bottom"/>
    </xf>
    <xf numFmtId="0" fontId="18" fillId="0" borderId="22" applyAlignment="1" pivotButton="0" quotePrefix="0" xfId="0">
      <alignment vertical="bottom"/>
    </xf>
    <xf numFmtId="0" fontId="32" fillId="0" borderId="0" applyAlignment="1" pivotButton="0" quotePrefix="0" xfId="0">
      <alignment vertical="bottom"/>
    </xf>
    <xf numFmtId="0" fontId="18" fillId="11" borderId="0" applyAlignment="1" pivotButton="0" quotePrefix="0" xfId="0">
      <alignment vertical="bottom"/>
    </xf>
    <xf numFmtId="0" fontId="32" fillId="11" borderId="0" applyAlignment="1" pivotButton="0" quotePrefix="0" xfId="0">
      <alignment vertical="bottom"/>
    </xf>
    <xf numFmtId="0" fontId="25" fillId="0" borderId="0" applyAlignment="1" pivotButton="0" quotePrefix="0" xfId="0">
      <alignment horizontal="center" vertical="bottom"/>
    </xf>
    <xf numFmtId="0" fontId="18" fillId="3" borderId="0" applyAlignment="1" pivotButton="0" quotePrefix="0" xfId="0">
      <alignment vertical="bottom"/>
    </xf>
    <xf numFmtId="0" fontId="32" fillId="3" borderId="0" applyAlignment="1" pivotButton="0" quotePrefix="0" xfId="0">
      <alignment vertical="bottom"/>
    </xf>
    <xf numFmtId="0" fontId="27" fillId="16" borderId="20" applyAlignment="1" pivotButton="0" quotePrefix="0" xfId="0">
      <alignment horizontal="center" vertical="bottom" wrapText="1"/>
    </xf>
    <xf numFmtId="0" fontId="18" fillId="0" borderId="24" applyAlignment="1" pivotButton="0" quotePrefix="0" xfId="0">
      <alignment vertical="bottom"/>
    </xf>
    <xf numFmtId="0" fontId="18" fillId="19" borderId="0" applyAlignment="1" pivotButton="0" quotePrefix="0" xfId="0">
      <alignment vertical="bottom"/>
    </xf>
    <xf numFmtId="0" fontId="32" fillId="19" borderId="0" applyAlignment="1" pivotButton="0" quotePrefix="0" xfId="0">
      <alignment vertical="bottom"/>
    </xf>
    <xf numFmtId="0" fontId="29" fillId="17" borderId="22" applyAlignment="1" pivotButton="0" quotePrefix="0" xfId="0">
      <alignment horizontal="center" vertical="bottom"/>
    </xf>
    <xf numFmtId="0" fontId="18" fillId="0" borderId="0" applyAlignment="1" pivotButton="0" quotePrefix="0" xfId="0">
      <alignment vertical="bottom"/>
    </xf>
    <xf numFmtId="0" fontId="29" fillId="18" borderId="23" applyAlignment="1" pivotButton="0" quotePrefix="0" xfId="0">
      <alignment horizontal="center" vertical="bottom"/>
    </xf>
    <xf numFmtId="0" fontId="29" fillId="18" borderId="22" applyAlignment="1" pivotButton="0" quotePrefix="0" xfId="0">
      <alignment horizontal="center" vertical="bottom"/>
    </xf>
    <xf numFmtId="0" fontId="28" fillId="18" borderId="22" applyAlignment="1" pivotButton="0" quotePrefix="0" xfId="0">
      <alignment horizontal="center" vertical="bottom"/>
    </xf>
    <xf numFmtId="0" fontId="18" fillId="0" borderId="23" applyAlignment="1" pivotButton="0" quotePrefix="0" xfId="0">
      <alignment vertical="bottom"/>
    </xf>
    <xf numFmtId="0" fontId="33" fillId="0" borderId="0" applyAlignment="1" pivotButton="0" quotePrefix="0" xfId="0">
      <alignment vertical="bottom"/>
    </xf>
    <xf numFmtId="0" fontId="11" fillId="0" borderId="0" applyAlignment="1" pivotButton="0" quotePrefix="0" xfId="0">
      <alignment wrapText="1"/>
    </xf>
    <xf numFmtId="0" fontId="7" fillId="3" borderId="1" applyAlignment="1" pivotButton="0" quotePrefix="0" xfId="0">
      <alignment vertical="top"/>
    </xf>
    <xf numFmtId="0" fontId="34" fillId="0" borderId="0" applyAlignment="1" pivotButton="0" quotePrefix="0" xfId="0">
      <alignment vertical="top"/>
    </xf>
    <xf numFmtId="0" fontId="7" fillId="3" borderId="1" applyAlignment="1" pivotButton="0" quotePrefix="0" xfId="0">
      <alignment horizontal="left" vertical="top" wrapText="1"/>
    </xf>
    <xf numFmtId="0" fontId="21" fillId="11" borderId="19" pivotButton="0" quotePrefix="0" xfId="0"/>
    <xf numFmtId="0" fontId="0" fillId="0" borderId="0" pivotButton="0" quotePrefix="0" xfId="0"/>
    <xf numFmtId="0" fontId="4" fillId="4" borderId="6" applyAlignment="1" pivotButton="0" quotePrefix="0" xfId="0">
      <alignment horizontal="left" vertical="center" wrapText="1"/>
    </xf>
    <xf numFmtId="0" fontId="0" fillId="0" borderId="3" pivotButton="0" quotePrefix="0" xfId="0"/>
    <xf numFmtId="0" fontId="9" fillId="5" borderId="27" applyAlignment="1" pivotButton="0" quotePrefix="0" xfId="0">
      <alignment horizontal="left" vertical="center" wrapText="1"/>
    </xf>
    <xf numFmtId="0" fontId="0" fillId="0" borderId="5" pivotButton="0" quotePrefix="0" xfId="0"/>
    <xf numFmtId="0" fontId="17" fillId="10" borderId="1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color rgb="FFC00000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irs.gov/pub/irs-pdf/f843.pdf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305"/>
  <sheetViews>
    <sheetView workbookViewId="0">
      <selection activeCell="A1" sqref="A1"/>
    </sheetView>
  </sheetViews>
  <sheetFormatPr baseColWidth="8" defaultColWidth="14.43" defaultRowHeight="15" customHeight="1"/>
  <cols>
    <col width="5.29" customWidth="1" style="150" min="1" max="1"/>
    <col width="57.71" customWidth="1" style="150" min="2" max="2"/>
    <col width="15.86" customWidth="1" style="150" min="3" max="3"/>
    <col width="12.71" customWidth="1" style="150" min="4" max="15"/>
    <col width="3.71" customWidth="1" style="150" min="16" max="16"/>
    <col width="12.71" customWidth="1" style="150" min="17" max="17"/>
    <col width="3.71" customWidth="1" style="150" min="18" max="18"/>
    <col width="28.71" customWidth="1" style="150" min="19" max="24"/>
  </cols>
  <sheetData>
    <row r="1" ht="49.5" customHeight="1" s="150">
      <c r="B1" s="1" t="inlineStr">
        <is>
          <t>Monthly Profit and Loss Statement Template Example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1.75" customHeight="1" s="150">
      <c r="A2" s="3" t="n"/>
      <c r="B2" s="151" t="inlineStr">
        <is>
          <t>COMPANY NAME</t>
        </is>
      </c>
      <c r="C2" s="152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78" t="n"/>
      <c r="S2" s="78" t="n"/>
      <c r="T2" s="78" t="n"/>
      <c r="U2" s="78" t="n"/>
      <c r="V2" s="78" t="n"/>
      <c r="W2" s="78" t="n"/>
      <c r="X2" s="78" t="n"/>
    </row>
    <row r="3" ht="34.5" customHeight="1" s="150">
      <c r="A3" s="8" t="n"/>
      <c r="B3" s="153" t="inlineStr">
        <is>
          <t>Charley Forey</t>
        </is>
      </c>
      <c r="C3" s="154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8" t="n"/>
      <c r="S3" s="8" t="n"/>
      <c r="T3" s="8" t="n"/>
      <c r="U3" s="8" t="n"/>
      <c r="V3" s="8" t="n"/>
      <c r="W3" s="8" t="n"/>
      <c r="X3" s="8" t="n"/>
    </row>
    <row r="4" ht="15" customHeight="1" s="150">
      <c r="A4" s="78" t="n"/>
      <c r="B4" s="12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S4" s="78" t="n"/>
      <c r="T4" s="78" t="n"/>
      <c r="U4" s="78" t="n"/>
      <c r="V4" s="78" t="n"/>
      <c r="W4" s="78" t="n"/>
      <c r="X4" s="78" t="n"/>
    </row>
    <row r="5" ht="21.75" customHeight="1" s="150">
      <c r="A5" s="3" t="n"/>
      <c r="B5" s="151" t="inlineStr">
        <is>
          <t>TIME PERIOD REPRESENTED</t>
        </is>
      </c>
      <c r="C5" s="152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78" t="n"/>
      <c r="S5" s="78" t="n"/>
      <c r="T5" s="78" t="n"/>
      <c r="U5" s="78" t="n"/>
      <c r="V5" s="78" t="n"/>
      <c r="W5" s="78" t="n"/>
      <c r="X5" s="78" t="n"/>
    </row>
    <row r="6" ht="34.5" customHeight="1" s="150">
      <c r="A6" s="8" t="n"/>
      <c r="B6" s="153" t="inlineStr">
        <is>
          <t>Feb 2026 Actual</t>
        </is>
      </c>
      <c r="C6" s="154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8" t="n"/>
      <c r="S6" s="8" t="n"/>
      <c r="T6" s="8" t="n"/>
      <c r="U6" s="8" t="n"/>
      <c r="V6" s="8" t="n"/>
      <c r="W6" s="8" t="n"/>
      <c r="X6" s="8" t="n"/>
    </row>
    <row r="7" ht="15" customHeight="1" s="150">
      <c r="A7" s="78" t="n"/>
      <c r="B7" s="145" t="inlineStr">
        <is>
          <t>Updated on 1/31/2026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S7" s="78" t="n"/>
      <c r="T7" s="78" t="n"/>
      <c r="U7" s="78" t="n"/>
      <c r="V7" s="78" t="n"/>
      <c r="W7" s="78" t="n"/>
      <c r="X7" s="78" t="n"/>
    </row>
    <row r="8" ht="19.5" customHeight="1" s="150">
      <c r="A8" s="8" t="n"/>
      <c r="B8" s="12" t="n"/>
      <c r="C8" s="15" t="inlineStr">
        <is>
          <t>TREND</t>
        </is>
      </c>
      <c r="D8" s="15" t="inlineStr">
        <is>
          <t>JANUARY</t>
        </is>
      </c>
      <c r="E8" s="15" t="inlineStr">
        <is>
          <t>FEBRUARY</t>
        </is>
      </c>
      <c r="F8" s="15" t="inlineStr">
        <is>
          <t>MARCH</t>
        </is>
      </c>
      <c r="G8" s="15" t="inlineStr">
        <is>
          <t>APRIL</t>
        </is>
      </c>
      <c r="H8" s="15" t="inlineStr">
        <is>
          <t>MAY</t>
        </is>
      </c>
      <c r="I8" s="15" t="inlineStr">
        <is>
          <t>JUNE</t>
        </is>
      </c>
      <c r="J8" s="15" t="inlineStr">
        <is>
          <t>JULY</t>
        </is>
      </c>
      <c r="K8" s="15" t="inlineStr">
        <is>
          <t>AUGUST</t>
        </is>
      </c>
      <c r="L8" s="15" t="inlineStr">
        <is>
          <t>SEPTEMBER</t>
        </is>
      </c>
      <c r="M8" s="15" t="inlineStr">
        <is>
          <t>OCTOBER</t>
        </is>
      </c>
      <c r="N8" s="15" t="inlineStr">
        <is>
          <t>NOVEMBER</t>
        </is>
      </c>
      <c r="O8" s="15" t="inlineStr">
        <is>
          <t>DECEMBER</t>
        </is>
      </c>
      <c r="P8" s="11" t="n"/>
      <c r="Q8" s="15" t="inlineStr">
        <is>
          <t>YTD</t>
        </is>
      </c>
      <c r="S8" s="8" t="n"/>
      <c r="T8" s="8" t="n"/>
      <c r="U8" s="8" t="n"/>
      <c r="V8" s="8" t="n"/>
      <c r="W8" s="8" t="n"/>
      <c r="X8" s="8" t="n"/>
    </row>
    <row r="9" ht="19.5" customHeight="1" s="150">
      <c r="A9" s="78" t="n"/>
      <c r="B9" s="16" t="inlineStr">
        <is>
          <t>NET PROFIT</t>
        </is>
      </c>
      <c r="C9" s="17" t="n"/>
      <c r="D9" s="18">
        <f>D39</f>
        <v/>
      </c>
      <c r="E9" s="18">
        <f>E39</f>
        <v/>
      </c>
      <c r="F9" s="18">
        <f>F39</f>
        <v/>
      </c>
      <c r="G9" s="18">
        <f>G39</f>
        <v/>
      </c>
      <c r="H9" s="18">
        <f>H39</f>
        <v/>
      </c>
      <c r="I9" s="18">
        <f>I39</f>
        <v/>
      </c>
      <c r="J9" s="18">
        <f>J39</f>
        <v/>
      </c>
      <c r="K9" s="18">
        <f>K39</f>
        <v/>
      </c>
      <c r="L9" s="18">
        <f>L39</f>
        <v/>
      </c>
      <c r="M9" s="18">
        <f>M39</f>
        <v/>
      </c>
      <c r="N9" s="18">
        <f>N39</f>
        <v/>
      </c>
      <c r="O9" s="18">
        <f>O39</f>
        <v/>
      </c>
      <c r="P9" s="19" t="n"/>
      <c r="Q9" s="18">
        <f>SUM(D9:O9)</f>
        <v/>
      </c>
      <c r="S9" s="78" t="n"/>
      <c r="T9" s="78" t="n"/>
      <c r="U9" s="78" t="n"/>
      <c r="V9" s="78" t="n"/>
    </row>
    <row r="10" ht="19.5" customHeight="1" s="150">
      <c r="A10" s="78" t="n"/>
      <c r="B10" s="16" t="inlineStr">
        <is>
          <t>TOTAL EXPENSES</t>
        </is>
      </c>
      <c r="C10" s="20" t="n"/>
      <c r="D10" s="21">
        <f>D97</f>
        <v/>
      </c>
      <c r="E10" s="21">
        <f>E97</f>
        <v/>
      </c>
      <c r="F10" s="21">
        <f>F97</f>
        <v/>
      </c>
      <c r="G10" s="21">
        <f>G97</f>
        <v/>
      </c>
      <c r="H10" s="21">
        <f>H97</f>
        <v/>
      </c>
      <c r="I10" s="21">
        <f>I97</f>
        <v/>
      </c>
      <c r="J10" s="21">
        <f>J97</f>
        <v/>
      </c>
      <c r="K10" s="21">
        <f>K97</f>
        <v/>
      </c>
      <c r="L10" s="21">
        <f>L97</f>
        <v/>
      </c>
      <c r="M10" s="21">
        <f>M97</f>
        <v/>
      </c>
      <c r="N10" s="21">
        <f>N97</f>
        <v/>
      </c>
      <c r="O10" s="21">
        <f>O97</f>
        <v/>
      </c>
      <c r="P10" s="78" t="n"/>
      <c r="Q10" s="21">
        <f>SUM(D10:O10)</f>
        <v/>
      </c>
      <c r="R10" s="78" t="n"/>
      <c r="S10" s="78" t="n"/>
      <c r="T10" s="78" t="n"/>
      <c r="U10" s="78" t="n"/>
      <c r="V10" s="78" t="n"/>
      <c r="W10" s="78" t="n"/>
      <c r="X10" s="78" t="n"/>
    </row>
    <row r="11" ht="21.75" customHeight="1" s="150">
      <c r="A11" s="78" t="n"/>
      <c r="B11" s="16" t="inlineStr">
        <is>
          <t>PROFIT / LOSS</t>
        </is>
      </c>
      <c r="C11" s="22" t="n"/>
      <c r="D11" s="23">
        <f>D9-D10</f>
        <v/>
      </c>
      <c r="E11" s="23">
        <f>E9-E10</f>
        <v/>
      </c>
      <c r="F11" s="23">
        <f>F9-F10</f>
        <v/>
      </c>
      <c r="G11" s="23">
        <f>G9-G10</f>
        <v/>
      </c>
      <c r="H11" s="23">
        <f>H9-H10</f>
        <v/>
      </c>
      <c r="I11" s="23">
        <f>I9-I10</f>
        <v/>
      </c>
      <c r="J11" s="23">
        <f>J9-J10</f>
        <v/>
      </c>
      <c r="K11" s="23">
        <f>K9-K10</f>
        <v/>
      </c>
      <c r="L11" s="23">
        <f>L9-L10</f>
        <v/>
      </c>
      <c r="M11" s="23">
        <f>M9-M10</f>
        <v/>
      </c>
      <c r="N11" s="23">
        <f>N9-N10</f>
        <v/>
      </c>
      <c r="O11" s="23">
        <f>O9-O10</f>
        <v/>
      </c>
      <c r="P11" s="19" t="n"/>
      <c r="Q11" s="23">
        <f>Q9-Q10</f>
        <v/>
      </c>
      <c r="S11" s="78" t="n"/>
      <c r="T11" s="78" t="n"/>
      <c r="U11" s="78" t="n"/>
      <c r="V11" s="78" t="n"/>
    </row>
    <row r="12" ht="19.5" customHeight="1" s="150">
      <c r="A12" s="78" t="n"/>
      <c r="B12" s="78" t="n"/>
      <c r="C12" s="19" t="n"/>
      <c r="D12" s="78" t="n"/>
      <c r="E12" s="78" t="n"/>
      <c r="F12" s="78" t="n"/>
      <c r="G12" s="78" t="n"/>
      <c r="H12" s="78" t="n"/>
      <c r="I12" s="78" t="n"/>
      <c r="J12" s="78" t="n"/>
      <c r="K12" s="78" t="n"/>
      <c r="L12" s="78" t="n"/>
      <c r="M12" s="78" t="n"/>
      <c r="N12" s="78" t="n"/>
      <c r="O12" s="78" t="n"/>
      <c r="P12" s="19" t="n"/>
      <c r="Q12" s="78" t="n"/>
      <c r="S12" s="78" t="n"/>
      <c r="T12" s="78" t="n"/>
      <c r="U12" s="78" t="n"/>
      <c r="V12" s="78" t="n"/>
    </row>
    <row r="13" ht="31.5" customHeight="1" s="150">
      <c r="A13" s="8" t="n"/>
      <c r="B13" s="24" t="inlineStr">
        <is>
          <t>REVENUE</t>
        </is>
      </c>
      <c r="C13" s="15" t="inlineStr">
        <is>
          <t>TREND</t>
        </is>
      </c>
      <c r="D13" s="25" t="inlineStr">
        <is>
          <t>JANUARY</t>
        </is>
      </c>
      <c r="E13" s="25" t="inlineStr">
        <is>
          <t>FEBRUARY</t>
        </is>
      </c>
      <c r="F13" s="25" t="inlineStr">
        <is>
          <t>MARCH</t>
        </is>
      </c>
      <c r="G13" s="25" t="inlineStr">
        <is>
          <t>APRIL</t>
        </is>
      </c>
      <c r="H13" s="25" t="inlineStr">
        <is>
          <t>MAY</t>
        </is>
      </c>
      <c r="I13" s="25" t="inlineStr">
        <is>
          <t>JUNE</t>
        </is>
      </c>
      <c r="J13" s="25" t="inlineStr">
        <is>
          <t>JULY</t>
        </is>
      </c>
      <c r="K13" s="25" t="inlineStr">
        <is>
          <t>AUGUST</t>
        </is>
      </c>
      <c r="L13" s="25" t="inlineStr">
        <is>
          <t>SEPTEMBER</t>
        </is>
      </c>
      <c r="M13" s="25" t="inlineStr">
        <is>
          <t>OCTOBER</t>
        </is>
      </c>
      <c r="N13" s="25" t="inlineStr">
        <is>
          <t>NOVEMBER</t>
        </is>
      </c>
      <c r="O13" s="25" t="inlineStr">
        <is>
          <t>DECEMBER</t>
        </is>
      </c>
      <c r="P13" s="11" t="n"/>
      <c r="Q13" s="25" t="inlineStr">
        <is>
          <t>YTD</t>
        </is>
      </c>
      <c r="S13" s="8" t="n"/>
      <c r="T13" s="8" t="n"/>
      <c r="U13" s="8" t="n"/>
      <c r="V13" s="8" t="n"/>
      <c r="W13" s="8" t="n"/>
      <c r="X13" s="8" t="n"/>
    </row>
    <row r="14" ht="19.5" customHeight="1" s="150">
      <c r="A14" s="78" t="n"/>
      <c r="B14" s="31" t="inlineStr">
        <is>
          <t>Trimble</t>
        </is>
      </c>
      <c r="C14" s="27" t="n"/>
      <c r="D14" s="29">
        <f>5000+5000</f>
        <v/>
      </c>
      <c r="E14" s="29" t="n">
        <v>10833.33</v>
      </c>
      <c r="F14" s="29" t="n">
        <v>10833.33</v>
      </c>
      <c r="G14" s="29" t="n">
        <v>10833.33</v>
      </c>
      <c r="H14" s="29" t="n">
        <v>10833.33</v>
      </c>
      <c r="I14" s="29" t="n">
        <v>10833.33</v>
      </c>
      <c r="J14" s="29" t="n">
        <v>10833.33</v>
      </c>
      <c r="K14" s="29" t="n">
        <v>10833.33</v>
      </c>
      <c r="L14" s="29" t="n">
        <v>10833.33</v>
      </c>
      <c r="M14" s="29" t="n">
        <v>10833.33</v>
      </c>
      <c r="N14" s="29" t="n">
        <v>10833.33</v>
      </c>
      <c r="O14" s="29" t="n">
        <v>10833.33</v>
      </c>
      <c r="P14" s="19" t="n"/>
      <c r="Q14" s="29">
        <f>SUM(D14:O14)</f>
        <v/>
      </c>
      <c r="S14" s="78" t="n"/>
      <c r="T14" s="78" t="n"/>
      <c r="U14" s="78" t="n"/>
      <c r="V14" s="78" t="n"/>
    </row>
    <row r="15" ht="19.5" customHeight="1" s="150">
      <c r="A15" s="78" t="n"/>
      <c r="B15" s="31" t="inlineStr">
        <is>
          <t>Bonus</t>
        </is>
      </c>
      <c r="C15" s="27" t="n"/>
      <c r="D15" s="29" t="n">
        <v>2500</v>
      </c>
      <c r="E15" s="29" t="n">
        <v>0</v>
      </c>
      <c r="F15" s="29" t="n">
        <v>0</v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29" t="n">
        <v>0</v>
      </c>
      <c r="M15" s="29" t="n">
        <v>0</v>
      </c>
      <c r="N15" s="29" t="n">
        <v>0</v>
      </c>
      <c r="O15" s="29" t="n">
        <v>3000</v>
      </c>
      <c r="P15" s="19" t="n"/>
      <c r="Q15" s="29">
        <f>SUM(D15:O15)</f>
        <v/>
      </c>
      <c r="S15" s="78" t="n"/>
      <c r="T15" s="78" t="n"/>
      <c r="U15" s="78" t="n"/>
      <c r="V15" s="78" t="n"/>
    </row>
    <row r="16" ht="19.5" customHeight="1" s="150">
      <c r="A16" s="78" t="n"/>
      <c r="B16" s="31" t="inlineStr">
        <is>
          <t>Pal &amp; Gal</t>
        </is>
      </c>
      <c r="C16" s="27" t="n"/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9" t="n">
        <v>0</v>
      </c>
      <c r="N16" s="29" t="n">
        <v>0</v>
      </c>
      <c r="O16" s="29" t="n">
        <v>0</v>
      </c>
      <c r="P16" s="19" t="n"/>
      <c r="Q16" s="29">
        <f>SUM(D16:O16)</f>
        <v/>
      </c>
      <c r="S16" s="78" t="n"/>
      <c r="T16" s="78" t="n"/>
      <c r="U16" s="78" t="n"/>
      <c r="V16" s="78" t="n"/>
    </row>
    <row r="17" ht="19.5" customHeight="1" s="150">
      <c r="A17" s="78" t="n"/>
      <c r="B17" s="31" t="inlineStr">
        <is>
          <t>Construct.Chat</t>
        </is>
      </c>
      <c r="C17" s="27" t="n"/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29" t="n">
        <v>0</v>
      </c>
      <c r="M17" s="29" t="n">
        <v>0</v>
      </c>
      <c r="N17" s="29" t="n">
        <v>0</v>
      </c>
      <c r="O17" s="29" t="n">
        <v>0</v>
      </c>
      <c r="P17" s="19" t="n"/>
      <c r="Q17" s="29">
        <f>SUM(D17:O17)</f>
        <v/>
      </c>
      <c r="S17" s="78" t="n"/>
      <c r="T17" s="78" t="n"/>
      <c r="U17" s="78" t="n"/>
      <c r="V17" s="78" t="n"/>
    </row>
    <row r="18" ht="19.5" customHeight="1" s="150">
      <c r="A18" s="78" t="n"/>
      <c r="B18" s="31" t="inlineStr">
        <is>
          <t>Sales of Assets</t>
        </is>
      </c>
      <c r="C18" s="27" t="n"/>
      <c r="D18" s="29" t="n"/>
      <c r="E18" s="29" t="n">
        <v>0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</v>
      </c>
      <c r="M18" s="29" t="n">
        <v>0</v>
      </c>
      <c r="N18" s="29" t="n">
        <v>0</v>
      </c>
      <c r="O18" s="29" t="n">
        <v>0</v>
      </c>
      <c r="P18" s="19" t="n"/>
      <c r="Q18" s="29">
        <f>SUM(D18:O18)</f>
        <v/>
      </c>
      <c r="S18" s="78" t="n"/>
      <c r="T18" s="78" t="n"/>
      <c r="U18" s="78" t="n"/>
      <c r="V18" s="78" t="n"/>
    </row>
    <row r="19" ht="19.5" customHeight="1" s="150">
      <c r="A19" s="78" t="n"/>
      <c r="B19" s="31" t="inlineStr">
        <is>
          <t>Other</t>
        </is>
      </c>
      <c r="C19" s="27" t="n"/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 t="n">
        <v>0</v>
      </c>
      <c r="O19" s="29" t="n">
        <v>0</v>
      </c>
      <c r="P19" s="19" t="n"/>
      <c r="Q19" s="29">
        <f>SUM(D19:O19)</f>
        <v/>
      </c>
      <c r="S19" s="78" t="n"/>
      <c r="T19" s="78" t="n"/>
      <c r="U19" s="78" t="n"/>
      <c r="V19" s="78" t="n"/>
    </row>
    <row r="20" ht="19.5" customHeight="1" s="150">
      <c r="A20" s="78" t="n"/>
      <c r="B20" s="16" t="inlineStr">
        <is>
          <t>TOTAL REVENUE</t>
        </is>
      </c>
      <c r="C20" s="17" t="n"/>
      <c r="D20" s="18">
        <f>SUM(D14:D19)</f>
        <v/>
      </c>
      <c r="E20" s="18">
        <f>SUM(E14:E19)</f>
        <v/>
      </c>
      <c r="F20" s="18">
        <f>SUM(F14:F19)</f>
        <v/>
      </c>
      <c r="G20" s="18">
        <f>SUM(G14:G19)</f>
        <v/>
      </c>
      <c r="H20" s="18">
        <f>SUM(H14:H19)</f>
        <v/>
      </c>
      <c r="I20" s="18">
        <f>SUM(I14:I19)</f>
        <v/>
      </c>
      <c r="J20" s="18">
        <f>SUM(J14:J19)</f>
        <v/>
      </c>
      <c r="K20" s="18">
        <f>SUM(K14:K19)</f>
        <v/>
      </c>
      <c r="L20" s="18">
        <f>SUM(L14:L19)</f>
        <v/>
      </c>
      <c r="M20" s="18">
        <f>SUM(M14:M19)</f>
        <v/>
      </c>
      <c r="N20" s="18">
        <f>SUM(N14:N19)</f>
        <v/>
      </c>
      <c r="O20" s="18">
        <f>SUM(O14:O19)</f>
        <v/>
      </c>
      <c r="P20" s="19" t="n"/>
      <c r="Q20" s="18">
        <f>SUM(Q14:Q19)</f>
        <v/>
      </c>
      <c r="S20" s="78" t="n"/>
      <c r="T20" s="78" t="n"/>
      <c r="U20" s="78" t="n"/>
      <c r="V20" s="78" t="n"/>
    </row>
    <row r="21" ht="19.5" customHeight="1" s="150">
      <c r="A21" s="78" t="n"/>
      <c r="B21" s="78" t="n"/>
      <c r="C21" s="19" t="n"/>
      <c r="D21" s="78" t="n"/>
      <c r="E21" s="78" t="n"/>
      <c r="F21" s="78" t="n"/>
      <c r="G21" s="78" t="n"/>
      <c r="H21" s="78" t="n"/>
      <c r="I21" s="78" t="n"/>
      <c r="J21" s="78" t="n"/>
      <c r="K21" s="78" t="n"/>
      <c r="L21" s="78" t="n"/>
      <c r="M21" s="78" t="n"/>
      <c r="N21" s="78" t="n"/>
      <c r="O21" s="78" t="n"/>
      <c r="P21" s="19" t="n"/>
      <c r="Q21" s="78" t="n"/>
      <c r="S21" s="78" t="n"/>
      <c r="T21" s="78" t="n"/>
      <c r="U21" s="78" t="n"/>
      <c r="V21" s="78" t="n"/>
    </row>
    <row r="22" hidden="1" ht="31.5" customHeight="1" s="150">
      <c r="A22" s="78" t="n"/>
      <c r="B22" s="24" t="inlineStr">
        <is>
          <t>COST OF GOODS SOLD (COGS)</t>
        </is>
      </c>
      <c r="C22" s="15" t="inlineStr">
        <is>
          <t>TREND</t>
        </is>
      </c>
      <c r="D22" s="15" t="inlineStr">
        <is>
          <t>JANUARY</t>
        </is>
      </c>
      <c r="E22" s="15" t="inlineStr">
        <is>
          <t>FEBRUARY</t>
        </is>
      </c>
      <c r="F22" s="15" t="inlineStr">
        <is>
          <t>MARCH</t>
        </is>
      </c>
      <c r="G22" s="15" t="inlineStr">
        <is>
          <t>APRIL</t>
        </is>
      </c>
      <c r="H22" s="15" t="inlineStr">
        <is>
          <t>MAY</t>
        </is>
      </c>
      <c r="I22" s="15" t="inlineStr">
        <is>
          <t>JUNE</t>
        </is>
      </c>
      <c r="J22" s="15" t="inlineStr">
        <is>
          <t>JULY</t>
        </is>
      </c>
      <c r="K22" s="15" t="inlineStr">
        <is>
          <t>AUGUST</t>
        </is>
      </c>
      <c r="L22" s="15" t="inlineStr">
        <is>
          <t>SEPTEMBER</t>
        </is>
      </c>
      <c r="M22" s="15" t="inlineStr">
        <is>
          <t>OCTOBER</t>
        </is>
      </c>
      <c r="N22" s="15" t="inlineStr">
        <is>
          <t>NOVEMBER</t>
        </is>
      </c>
      <c r="O22" s="15" t="inlineStr">
        <is>
          <t>DECEMBER</t>
        </is>
      </c>
      <c r="P22" s="19" t="n"/>
      <c r="Q22" s="25" t="inlineStr">
        <is>
          <t>YTD</t>
        </is>
      </c>
      <c r="S22" s="78" t="n"/>
      <c r="T22" s="78" t="n"/>
      <c r="U22" s="78" t="n"/>
      <c r="V22" s="78" t="n"/>
    </row>
    <row r="23" hidden="1" ht="19.5" customHeight="1" s="150">
      <c r="A23" s="30" t="n"/>
      <c r="B23" s="31" t="inlineStr">
        <is>
          <t>Inventory Purchases</t>
        </is>
      </c>
      <c r="C23" s="27" t="n"/>
      <c r="D23" s="33" t="n">
        <v>0</v>
      </c>
      <c r="E23" s="33" t="n">
        <v>0</v>
      </c>
      <c r="F23" s="33" t="n">
        <v>0</v>
      </c>
      <c r="G23" s="33" t="n">
        <v>0</v>
      </c>
      <c r="H23" s="33" t="n">
        <v>0</v>
      </c>
      <c r="I23" s="33" t="n">
        <v>0</v>
      </c>
      <c r="J23" s="33" t="n">
        <v>0</v>
      </c>
      <c r="K23" s="33" t="n">
        <v>0</v>
      </c>
      <c r="L23" s="33" t="n">
        <v>0</v>
      </c>
      <c r="M23" s="33" t="n">
        <v>0</v>
      </c>
      <c r="N23" s="33" t="n">
        <v>0</v>
      </c>
      <c r="O23" s="33" t="n">
        <v>0</v>
      </c>
      <c r="P23" s="19" t="n"/>
      <c r="Q23" s="33">
        <f>SUM(D23:O23)</f>
        <v/>
      </c>
      <c r="S23" s="30" t="n"/>
      <c r="T23" s="30" t="n"/>
      <c r="U23" s="30" t="n"/>
      <c r="V23" s="30" t="n"/>
    </row>
    <row r="24" hidden="1" ht="19.5" customHeight="1" s="150">
      <c r="A24" s="78" t="n"/>
      <c r="B24" s="31" t="inlineStr">
        <is>
          <t>Manufacturing Costs</t>
        </is>
      </c>
      <c r="C24" s="27" t="n"/>
      <c r="D24" s="33" t="n">
        <v>0</v>
      </c>
      <c r="E24" s="33" t="n">
        <v>0</v>
      </c>
      <c r="F24" s="33" t="n">
        <v>0</v>
      </c>
      <c r="G24" s="33" t="n">
        <v>0</v>
      </c>
      <c r="H24" s="33" t="n">
        <v>0</v>
      </c>
      <c r="I24" s="33" t="n">
        <v>0</v>
      </c>
      <c r="J24" s="33" t="n">
        <v>0</v>
      </c>
      <c r="K24" s="33" t="n">
        <v>0</v>
      </c>
      <c r="L24" s="33" t="n">
        <v>0</v>
      </c>
      <c r="M24" s="33" t="n">
        <v>0</v>
      </c>
      <c r="N24" s="33" t="n">
        <v>0</v>
      </c>
      <c r="O24" s="33" t="n">
        <v>0</v>
      </c>
      <c r="P24" s="34" t="n"/>
      <c r="Q24" s="33">
        <f>SUM(D24:O24)</f>
        <v/>
      </c>
      <c r="S24" s="78" t="n"/>
      <c r="T24" s="78" t="n"/>
      <c r="U24" s="78" t="n"/>
      <c r="V24" s="78" t="n"/>
    </row>
    <row r="25" hidden="1" ht="19.5" customHeight="1" s="150">
      <c r="A25" s="78" t="n"/>
      <c r="B25" s="31" t="inlineStr">
        <is>
          <t>Shipping and Freight</t>
        </is>
      </c>
      <c r="C25" s="27" t="n"/>
      <c r="D25" s="33" t="n">
        <v>0</v>
      </c>
      <c r="E25" s="33" t="n">
        <v>0</v>
      </c>
      <c r="F25" s="33" t="n">
        <v>0</v>
      </c>
      <c r="G25" s="33" t="n">
        <v>0</v>
      </c>
      <c r="H25" s="33" t="n">
        <v>0</v>
      </c>
      <c r="I25" s="33" t="n">
        <v>0</v>
      </c>
      <c r="J25" s="33" t="n">
        <v>0</v>
      </c>
      <c r="K25" s="33" t="n">
        <v>0</v>
      </c>
      <c r="L25" s="33" t="n">
        <v>0</v>
      </c>
      <c r="M25" s="33" t="n">
        <v>0</v>
      </c>
      <c r="N25" s="33" t="n">
        <v>0</v>
      </c>
      <c r="O25" s="33" t="n">
        <v>0</v>
      </c>
      <c r="P25" s="34" t="n"/>
      <c r="Q25" s="33">
        <f>SUM(D25:O25)</f>
        <v/>
      </c>
      <c r="S25" s="78" t="n"/>
      <c r="T25" s="78" t="n"/>
      <c r="U25" s="78" t="n"/>
      <c r="V25" s="78" t="n"/>
    </row>
    <row r="26" hidden="1" ht="19.5" customHeight="1" s="150">
      <c r="A26" s="78" t="n"/>
      <c r="B26" s="31" t="inlineStr">
        <is>
          <t>Warehouse Costs</t>
        </is>
      </c>
      <c r="C26" s="27" t="n"/>
      <c r="D26" s="33" t="n">
        <v>0</v>
      </c>
      <c r="E26" s="33" t="n">
        <v>0</v>
      </c>
      <c r="F26" s="33" t="n">
        <v>0</v>
      </c>
      <c r="G26" s="33" t="n">
        <v>0</v>
      </c>
      <c r="H26" s="33" t="n">
        <v>0</v>
      </c>
      <c r="I26" s="33" t="n">
        <v>0</v>
      </c>
      <c r="J26" s="33" t="n">
        <v>0</v>
      </c>
      <c r="K26" s="33" t="n">
        <v>0</v>
      </c>
      <c r="L26" s="33" t="n">
        <v>0</v>
      </c>
      <c r="M26" s="33" t="n">
        <v>0</v>
      </c>
      <c r="N26" s="33" t="n">
        <v>0</v>
      </c>
      <c r="O26" s="33" t="n">
        <v>0</v>
      </c>
      <c r="P26" s="34" t="n"/>
      <c r="Q26" s="33">
        <f>SUM(D26:O26)</f>
        <v/>
      </c>
      <c r="S26" s="78" t="n"/>
      <c r="T26" s="78" t="n"/>
      <c r="U26" s="78" t="n"/>
      <c r="V26" s="78" t="n"/>
    </row>
    <row r="27" hidden="1" ht="19.5" customHeight="1" s="150">
      <c r="A27" s="3" t="n"/>
      <c r="B27" s="31" t="inlineStr">
        <is>
          <t>Other</t>
        </is>
      </c>
      <c r="C27" s="27" t="n"/>
      <c r="D27" s="33" t="n">
        <v>0</v>
      </c>
      <c r="E27" s="33" t="n">
        <v>0</v>
      </c>
      <c r="F27" s="33" t="n">
        <v>0</v>
      </c>
      <c r="G27" s="33" t="n">
        <v>0</v>
      </c>
      <c r="H27" s="33" t="n">
        <v>0</v>
      </c>
      <c r="I27" s="33" t="n">
        <v>0</v>
      </c>
      <c r="J27" s="33" t="n">
        <v>0</v>
      </c>
      <c r="K27" s="33" t="n">
        <v>0</v>
      </c>
      <c r="L27" s="33" t="n">
        <v>0</v>
      </c>
      <c r="M27" s="33" t="n">
        <v>0</v>
      </c>
      <c r="N27" s="33" t="n">
        <v>0</v>
      </c>
      <c r="O27" s="33" t="n">
        <v>0</v>
      </c>
      <c r="P27" s="34" t="n"/>
      <c r="Q27" s="33">
        <f>SUM(D27:O27)</f>
        <v/>
      </c>
      <c r="S27" s="3" t="n"/>
      <c r="T27" s="3" t="n"/>
      <c r="U27" s="3" t="n"/>
      <c r="V27" s="3" t="n"/>
    </row>
    <row r="28" hidden="1" ht="19.5" customHeight="1" s="150">
      <c r="A28" s="78" t="n"/>
      <c r="B28" s="16" t="inlineStr">
        <is>
          <t>TOTAL COGS</t>
        </is>
      </c>
      <c r="C28" s="17" t="n"/>
      <c r="D28" s="18">
        <f>SUM(D23:D27)</f>
        <v/>
      </c>
      <c r="E28" s="18">
        <f>SUM(E23:E27)</f>
        <v/>
      </c>
      <c r="F28" s="18">
        <f>SUM(F23:F27)</f>
        <v/>
      </c>
      <c r="G28" s="18">
        <f>SUM(G23:G27)</f>
        <v/>
      </c>
      <c r="H28" s="18">
        <f>SUM(H23:H27)</f>
        <v/>
      </c>
      <c r="I28" s="18">
        <f>SUM(I23:I27)</f>
        <v/>
      </c>
      <c r="J28" s="18">
        <f>SUM(J23:J27)</f>
        <v/>
      </c>
      <c r="K28" s="18">
        <f>SUM(K23:K27)</f>
        <v/>
      </c>
      <c r="L28" s="18">
        <f>SUM(L23:L27)</f>
        <v/>
      </c>
      <c r="M28" s="18">
        <f>SUM(M23:M27)</f>
        <v/>
      </c>
      <c r="N28" s="18">
        <f>SUM(N23:N27)</f>
        <v/>
      </c>
      <c r="O28" s="18">
        <f>SUM(O23:O27)</f>
        <v/>
      </c>
      <c r="P28" s="19" t="n"/>
      <c r="Q28" s="18">
        <f>SUM(Q23:Q27)</f>
        <v/>
      </c>
      <c r="S28" s="78" t="n"/>
      <c r="T28" s="78" t="n"/>
      <c r="U28" s="78" t="n"/>
      <c r="V28" s="78" t="n"/>
    </row>
    <row r="29" hidden="1" ht="19.5" customHeight="1" s="150">
      <c r="A29" s="78" t="n"/>
      <c r="B29" s="78" t="n"/>
      <c r="C29" s="19" t="n"/>
      <c r="D29" s="78" t="n"/>
      <c r="E29" s="78" t="n"/>
      <c r="F29" s="78" t="n"/>
      <c r="G29" s="78" t="n"/>
      <c r="H29" s="78" t="n"/>
      <c r="I29" s="78" t="n"/>
      <c r="J29" s="78" t="n"/>
      <c r="K29" s="78" t="n"/>
      <c r="L29" s="78" t="n"/>
      <c r="M29" s="78" t="n"/>
      <c r="N29" s="78" t="n"/>
      <c r="O29" s="78" t="n"/>
      <c r="P29" s="19" t="n"/>
      <c r="Q29" s="78" t="n"/>
      <c r="S29" s="78" t="n"/>
      <c r="T29" s="78" t="n"/>
      <c r="U29" s="78" t="n"/>
      <c r="V29" s="78" t="n"/>
    </row>
    <row r="30" ht="19.5" customHeight="1" s="150">
      <c r="A30" s="78" t="n"/>
      <c r="B30" s="16" t="inlineStr">
        <is>
          <t>GROSS PROFIT</t>
        </is>
      </c>
      <c r="C30" s="17" t="n"/>
      <c r="D30" s="18">
        <f>D20-D28</f>
        <v/>
      </c>
      <c r="E30" s="18">
        <f>E20-E28</f>
        <v/>
      </c>
      <c r="F30" s="18">
        <f>F20-F28</f>
        <v/>
      </c>
      <c r="G30" s="18">
        <f>G20-G28</f>
        <v/>
      </c>
      <c r="H30" s="18">
        <f>H20-H28</f>
        <v/>
      </c>
      <c r="I30" s="18">
        <f>I20-I28</f>
        <v/>
      </c>
      <c r="J30" s="18">
        <f>J20-J28</f>
        <v/>
      </c>
      <c r="K30" s="18">
        <f>K20-K28</f>
        <v/>
      </c>
      <c r="L30" s="18">
        <f>L20-L28</f>
        <v/>
      </c>
      <c r="M30" s="18">
        <f>M20-M28</f>
        <v/>
      </c>
      <c r="N30" s="18">
        <f>N20-N28</f>
        <v/>
      </c>
      <c r="O30" s="18">
        <f>O20-O28</f>
        <v/>
      </c>
      <c r="P30" s="19" t="n"/>
      <c r="Q30" s="18">
        <f>Q20-Q28</f>
        <v/>
      </c>
      <c r="S30" s="78" t="n"/>
      <c r="T30" s="78" t="n"/>
      <c r="U30" s="78" t="n"/>
      <c r="V30" s="78" t="n"/>
    </row>
    <row r="31" ht="19.5" customHeight="1" s="150">
      <c r="A31" s="78" t="n"/>
      <c r="B31" s="78" t="n"/>
      <c r="C31" s="19" t="n"/>
      <c r="D31" s="78" t="n"/>
      <c r="E31" s="78" t="n"/>
      <c r="F31" s="78" t="n"/>
      <c r="G31" s="78" t="n"/>
      <c r="H31" s="78" t="n"/>
      <c r="I31" s="78" t="n"/>
      <c r="J31" s="78" t="n"/>
      <c r="K31" s="78" t="n"/>
      <c r="L31" s="78" t="n"/>
      <c r="M31" s="78" t="n"/>
      <c r="N31" s="78" t="n"/>
      <c r="O31" s="78" t="n"/>
      <c r="P31" s="19" t="n"/>
      <c r="Q31" s="78" t="n"/>
      <c r="S31" s="78" t="n"/>
      <c r="T31" s="78" t="n"/>
      <c r="U31" s="78" t="n"/>
      <c r="V31" s="78" t="n"/>
    </row>
    <row r="32" ht="31.5" customHeight="1" s="150">
      <c r="A32" s="78" t="n"/>
      <c r="B32" s="35" t="inlineStr">
        <is>
          <t>Investments</t>
        </is>
      </c>
      <c r="C32" s="15" t="inlineStr">
        <is>
          <t>TREND</t>
        </is>
      </c>
      <c r="D32" s="15" t="inlineStr">
        <is>
          <t>JANUARY</t>
        </is>
      </c>
      <c r="E32" s="15" t="inlineStr">
        <is>
          <t>FEBRUARY</t>
        </is>
      </c>
      <c r="F32" s="15" t="inlineStr">
        <is>
          <t>MARCH</t>
        </is>
      </c>
      <c r="G32" s="15" t="inlineStr">
        <is>
          <t>APRIL</t>
        </is>
      </c>
      <c r="H32" s="15" t="inlineStr">
        <is>
          <t>MAY</t>
        </is>
      </c>
      <c r="I32" s="15" t="inlineStr">
        <is>
          <t>JUNE</t>
        </is>
      </c>
      <c r="J32" s="15" t="inlineStr">
        <is>
          <t>JULY</t>
        </is>
      </c>
      <c r="K32" s="15" t="inlineStr">
        <is>
          <t>AUGUST</t>
        </is>
      </c>
      <c r="L32" s="15" t="inlineStr">
        <is>
          <t>SEPTEMBER</t>
        </is>
      </c>
      <c r="M32" s="15" t="inlineStr">
        <is>
          <t>OCTOBER</t>
        </is>
      </c>
      <c r="N32" s="15" t="inlineStr">
        <is>
          <t>NOVEMBER</t>
        </is>
      </c>
      <c r="O32" s="15" t="inlineStr">
        <is>
          <t>DECEMBER</t>
        </is>
      </c>
      <c r="P32" s="19" t="n"/>
      <c r="Q32" s="25" t="inlineStr">
        <is>
          <t>YTD</t>
        </is>
      </c>
      <c r="S32" s="78" t="n"/>
      <c r="T32" s="78" t="n"/>
      <c r="U32" s="78" t="n"/>
      <c r="V32" s="78" t="n"/>
    </row>
    <row r="33" ht="19.5" customHeight="1" s="150">
      <c r="A33" s="36" t="n">
        <v>0.175</v>
      </c>
      <c r="B33" s="31" t="inlineStr">
        <is>
          <t>401k (Change to 17.5%)</t>
        </is>
      </c>
      <c r="C33" s="27" t="n"/>
      <c r="D33" s="33">
        <f>900+450+900</f>
        <v/>
      </c>
      <c r="E33" s="33">
        <f>E14*$A$33</f>
        <v/>
      </c>
      <c r="F33" s="33">
        <f>F14*$A$33</f>
        <v/>
      </c>
      <c r="G33" s="33">
        <f>G14*$A$33</f>
        <v/>
      </c>
      <c r="H33" s="33">
        <f>H14*$A$33</f>
        <v/>
      </c>
      <c r="I33" s="33">
        <f>I14*$A$33</f>
        <v/>
      </c>
      <c r="J33" s="33">
        <f>J14*$A$33</f>
        <v/>
      </c>
      <c r="K33" s="33">
        <f>K14*$A$33</f>
        <v/>
      </c>
      <c r="L33" s="33">
        <f>L14*$A$33</f>
        <v/>
      </c>
      <c r="M33" s="33">
        <f>M14*$A$33</f>
        <v/>
      </c>
      <c r="N33" s="33">
        <f>N14*$A$33</f>
        <v/>
      </c>
      <c r="O33" s="33">
        <f>(O14+O15)*$A$33</f>
        <v/>
      </c>
      <c r="P33" s="19" t="n"/>
      <c r="Q33" s="33">
        <f>SUM(D33:O33)</f>
        <v/>
      </c>
      <c r="S33" s="30" t="n"/>
      <c r="T33" s="30" t="n"/>
      <c r="U33" s="30" t="n"/>
      <c r="V33" s="30" t="n"/>
    </row>
    <row r="34" ht="19.5" customHeight="1" s="150">
      <c r="A34" s="36" t="n">
        <v>0.1</v>
      </c>
      <c r="B34" s="31" t="inlineStr">
        <is>
          <t>ESPP (Change to 8%)</t>
        </is>
      </c>
      <c r="C34" s="27" t="n"/>
      <c r="D34" s="33">
        <f>512+250+512</f>
        <v/>
      </c>
      <c r="E34" s="33">
        <f>E14*$A$34</f>
        <v/>
      </c>
      <c r="F34" s="33">
        <f>F14*$A$34</f>
        <v/>
      </c>
      <c r="G34" s="33">
        <f>G14*$A$34</f>
        <v/>
      </c>
      <c r="H34" s="33">
        <f>H14*$A$34</f>
        <v/>
      </c>
      <c r="I34" s="33">
        <f>I14*$A$34</f>
        <v/>
      </c>
      <c r="J34" s="33">
        <f>J14*$A$34</f>
        <v/>
      </c>
      <c r="K34" s="33">
        <f>K14*$A$34</f>
        <v/>
      </c>
      <c r="L34" s="33">
        <f>L14*$A$34</f>
        <v/>
      </c>
      <c r="M34" s="33">
        <f>M14*$A$34</f>
        <v/>
      </c>
      <c r="N34" s="33">
        <f>N14*$A$34</f>
        <v/>
      </c>
      <c r="O34" s="33">
        <f>O14*$A$34</f>
        <v/>
      </c>
      <c r="P34" s="34" t="n"/>
      <c r="Q34" s="33">
        <f>SUM(D34:O34)</f>
        <v/>
      </c>
      <c r="S34" s="78" t="n"/>
      <c r="T34" s="78" t="n"/>
      <c r="U34" s="78" t="n"/>
      <c r="V34" s="78" t="n"/>
    </row>
    <row r="35" ht="19.5" customHeight="1" s="150">
      <c r="A35" s="54" t="n"/>
      <c r="B35" s="94" t="inlineStr">
        <is>
          <t>Investment</t>
        </is>
      </c>
      <c r="C35" s="95" t="n"/>
      <c r="D35" s="96" t="n">
        <v>2400</v>
      </c>
      <c r="E35" s="97" t="n"/>
      <c r="F35" s="98" t="n">
        <v>0</v>
      </c>
      <c r="G35" s="98" t="n">
        <v>0</v>
      </c>
      <c r="H35" s="98" t="n">
        <v>0</v>
      </c>
      <c r="I35" s="98" t="n">
        <v>0</v>
      </c>
      <c r="J35" s="98" t="n">
        <v>0</v>
      </c>
      <c r="K35" s="98" t="n">
        <v>0</v>
      </c>
      <c r="L35" s="98" t="n">
        <v>0</v>
      </c>
      <c r="M35" s="98" t="n">
        <v>0</v>
      </c>
      <c r="N35" s="98" t="n">
        <v>0</v>
      </c>
      <c r="O35" s="98" t="n">
        <v>0</v>
      </c>
      <c r="P35" s="99" t="n"/>
      <c r="Q35" s="98">
        <f>SUM(D35:O35)</f>
        <v/>
      </c>
      <c r="R35" s="139" t="n"/>
      <c r="S35" s="54" t="n"/>
      <c r="T35" s="54" t="n"/>
      <c r="U35" s="54" t="n"/>
      <c r="V35" s="54" t="n"/>
      <c r="W35" s="139" t="n"/>
      <c r="X35" s="139" t="n"/>
      <c r="Y35" s="139" t="n"/>
      <c r="Z35" s="139" t="n"/>
    </row>
    <row r="36" ht="19.5" customHeight="1" s="150">
      <c r="A36" s="3" t="n"/>
      <c r="B36" s="31" t="inlineStr">
        <is>
          <t>Other</t>
        </is>
      </c>
      <c r="C36" s="27" t="n"/>
      <c r="D36" s="33" t="n">
        <v>0</v>
      </c>
      <c r="E36" s="33" t="n"/>
      <c r="F36" s="33" t="n">
        <v>0</v>
      </c>
      <c r="G36" s="33" t="n">
        <v>0</v>
      </c>
      <c r="H36" s="33" t="n">
        <v>0</v>
      </c>
      <c r="I36" s="33" t="n">
        <v>0</v>
      </c>
      <c r="J36" s="33" t="n">
        <v>0</v>
      </c>
      <c r="K36" s="33" t="n">
        <v>0</v>
      </c>
      <c r="L36" s="33" t="n">
        <v>0</v>
      </c>
      <c r="M36" s="33" t="n">
        <v>0</v>
      </c>
      <c r="N36" s="33" t="n">
        <v>0</v>
      </c>
      <c r="O36" s="33" t="n">
        <v>0</v>
      </c>
      <c r="P36" s="34" t="n"/>
      <c r="Q36" s="33">
        <f>SUM(D36:O36)</f>
        <v/>
      </c>
      <c r="S36" s="3" t="n"/>
      <c r="T36" s="3" t="n"/>
      <c r="U36" s="3" t="n"/>
      <c r="V36" s="3" t="n"/>
    </row>
    <row r="37" ht="19.5" customHeight="1" s="150">
      <c r="A37" s="78" t="n"/>
      <c r="B37" s="16" t="inlineStr">
        <is>
          <t>TOTAL REDUCTIONS</t>
        </is>
      </c>
      <c r="C37" s="17" t="n"/>
      <c r="D37" s="18">
        <f>SUM(D33:D36)</f>
        <v/>
      </c>
      <c r="E37" s="18">
        <f>SUM(E33:E36)</f>
        <v/>
      </c>
      <c r="F37" s="18">
        <f>SUM(F33:F36)</f>
        <v/>
      </c>
      <c r="G37" s="18">
        <f>SUM(G33:G36)</f>
        <v/>
      </c>
      <c r="H37" s="18">
        <f>SUM(H33:H36)</f>
        <v/>
      </c>
      <c r="I37" s="18">
        <f>SUM(I33:I36)</f>
        <v/>
      </c>
      <c r="J37" s="18">
        <f>SUM(J33:J36)</f>
        <v/>
      </c>
      <c r="K37" s="18">
        <f>SUM(K33:K36)</f>
        <v/>
      </c>
      <c r="L37" s="18">
        <f>SUM(L33:L36)</f>
        <v/>
      </c>
      <c r="M37" s="18">
        <f>SUM(M33:M36)</f>
        <v/>
      </c>
      <c r="N37" s="18">
        <f>SUM(N33:N36)</f>
        <v/>
      </c>
      <c r="O37" s="18">
        <f>SUM(O33:O36)</f>
        <v/>
      </c>
      <c r="P37" s="19" t="n"/>
      <c r="Q37" s="18">
        <f>SUM(Q33:Q36)</f>
        <v/>
      </c>
      <c r="S37" s="78" t="n"/>
      <c r="T37" s="78" t="n"/>
      <c r="U37" s="78" t="n"/>
      <c r="V37" s="78" t="n"/>
    </row>
    <row r="38" ht="19.5" customHeight="1" s="150">
      <c r="A38" s="78" t="n"/>
      <c r="B38" s="78" t="n"/>
      <c r="C38" s="19" t="n"/>
      <c r="D38" s="78" t="n"/>
      <c r="E38" s="78" t="n"/>
      <c r="F38" s="78" t="n"/>
      <c r="G38" s="78" t="n"/>
      <c r="H38" s="78" t="n"/>
      <c r="I38" s="78" t="n"/>
      <c r="J38" s="78" t="n"/>
      <c r="K38" s="78" t="n"/>
      <c r="L38" s="78" t="n"/>
      <c r="M38" s="78" t="n"/>
      <c r="N38" s="78" t="n"/>
      <c r="O38" s="78" t="n"/>
      <c r="P38" s="19" t="n"/>
      <c r="Q38" s="78" t="n"/>
      <c r="S38" s="78" t="n"/>
      <c r="T38" s="78" t="n"/>
      <c r="U38" s="78" t="n"/>
      <c r="V38" s="78" t="n"/>
    </row>
    <row r="39" ht="19.5" customHeight="1" s="150">
      <c r="A39" s="78" t="n"/>
      <c r="B39" s="16" t="inlineStr">
        <is>
          <t>NET PROFIT</t>
        </is>
      </c>
      <c r="C39" s="17" t="n"/>
      <c r="D39" s="18">
        <f>D20-D28-D37</f>
        <v/>
      </c>
      <c r="E39" s="18">
        <f>E20-E28-E37</f>
        <v/>
      </c>
      <c r="F39" s="18">
        <f>F20-F28-F37</f>
        <v/>
      </c>
      <c r="G39" s="18">
        <f>G20-G28-G37</f>
        <v/>
      </c>
      <c r="H39" s="18">
        <f>H20-H28-H37</f>
        <v/>
      </c>
      <c r="I39" s="18">
        <f>I20-I28-I37</f>
        <v/>
      </c>
      <c r="J39" s="18">
        <f>J20-J28-J37</f>
        <v/>
      </c>
      <c r="K39" s="18">
        <f>K20-K28-K37</f>
        <v/>
      </c>
      <c r="L39" s="18">
        <f>L20-L28-L37</f>
        <v/>
      </c>
      <c r="M39" s="18">
        <f>M20-M28-M37</f>
        <v/>
      </c>
      <c r="N39" s="18">
        <f>N20-N28-N37</f>
        <v/>
      </c>
      <c r="O39" s="18">
        <f>O20-O28-O37</f>
        <v/>
      </c>
      <c r="P39" s="19" t="n"/>
      <c r="Q39" s="18">
        <f>Q20-Q28-Q37</f>
        <v/>
      </c>
      <c r="S39" s="78" t="n"/>
      <c r="T39" s="78" t="n"/>
      <c r="U39" s="78" t="n"/>
      <c r="V39" s="78" t="n"/>
    </row>
    <row r="40" ht="19.5" customHeight="1" s="150">
      <c r="A40" s="78" t="n"/>
      <c r="B40" s="12" t="n"/>
      <c r="C40" s="19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9" t="n"/>
      <c r="Q40" s="13" t="n"/>
      <c r="S40" s="78" t="n"/>
      <c r="T40" s="78" t="n"/>
      <c r="U40" s="78" t="n"/>
      <c r="V40" s="78" t="n"/>
    </row>
    <row r="41" ht="31.5" customHeight="1" s="150">
      <c r="A41" s="78" t="n"/>
      <c r="B41" s="24" t="inlineStr">
        <is>
          <t>EXPENSES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8" t="n"/>
      <c r="P41" s="19" t="n"/>
      <c r="Q41" s="39" t="n"/>
      <c r="S41" s="78" t="n"/>
      <c r="T41" s="78" t="n"/>
      <c r="U41" s="78" t="n"/>
      <c r="V41" s="78" t="n"/>
    </row>
    <row r="42" hidden="1" ht="19.5" customHeight="1" s="150">
      <c r="A42" s="78" t="n"/>
      <c r="B42" s="40" t="inlineStr">
        <is>
          <t>EMPLOYEE AND LABOR</t>
        </is>
      </c>
      <c r="C42" s="25" t="inlineStr">
        <is>
          <t>TREND</t>
        </is>
      </c>
      <c r="D42" s="41" t="inlineStr">
        <is>
          <t>JANUARY</t>
        </is>
      </c>
      <c r="E42" s="41" t="inlineStr">
        <is>
          <t>FEBRUARY</t>
        </is>
      </c>
      <c r="F42" s="41" t="inlineStr">
        <is>
          <t>MARCH</t>
        </is>
      </c>
      <c r="G42" s="41" t="inlineStr">
        <is>
          <t>APRIL</t>
        </is>
      </c>
      <c r="H42" s="41" t="inlineStr">
        <is>
          <t>MAY</t>
        </is>
      </c>
      <c r="I42" s="41" t="inlineStr">
        <is>
          <t>JUNE</t>
        </is>
      </c>
      <c r="J42" s="41" t="inlineStr">
        <is>
          <t>JULY</t>
        </is>
      </c>
      <c r="K42" s="41" t="inlineStr">
        <is>
          <t>AUGUST</t>
        </is>
      </c>
      <c r="L42" s="41" t="inlineStr">
        <is>
          <t>SEPTEMBER</t>
        </is>
      </c>
      <c r="M42" s="41" t="inlineStr">
        <is>
          <t>OCTOBER</t>
        </is>
      </c>
      <c r="N42" s="41" t="inlineStr">
        <is>
          <t>NOVEMBER</t>
        </is>
      </c>
      <c r="O42" s="41" t="inlineStr">
        <is>
          <t>DECEMBER</t>
        </is>
      </c>
      <c r="P42" s="19" t="n"/>
      <c r="Q42" s="25" t="inlineStr">
        <is>
          <t>YTD</t>
        </is>
      </c>
      <c r="S42" s="78" t="n"/>
      <c r="T42" s="78" t="n"/>
      <c r="U42" s="78" t="n"/>
      <c r="V42" s="78" t="n"/>
    </row>
    <row r="43" hidden="1" ht="19.5" customHeight="1" s="150">
      <c r="A43" s="78" t="n"/>
      <c r="B43" s="31" t="inlineStr">
        <is>
          <t>Salaries</t>
        </is>
      </c>
      <c r="C43" s="27" t="n"/>
      <c r="D43" s="29" t="n">
        <v>0</v>
      </c>
      <c r="E43" s="29" t="n">
        <v>0</v>
      </c>
      <c r="F43" s="29" t="n">
        <v>0</v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29" t="n">
        <v>0</v>
      </c>
      <c r="M43" s="29" t="n">
        <v>0</v>
      </c>
      <c r="N43" s="29" t="n">
        <v>0</v>
      </c>
      <c r="O43" s="29" t="n">
        <v>0</v>
      </c>
      <c r="P43" s="42" t="n"/>
      <c r="Q43" s="29">
        <f>SUM(D43:O43)</f>
        <v/>
      </c>
      <c r="R43" s="78" t="n"/>
      <c r="S43" s="78" t="n"/>
      <c r="T43" s="78" t="n"/>
      <c r="U43" s="78" t="n"/>
      <c r="V43" s="78" t="n"/>
      <c r="W43" s="78" t="n"/>
      <c r="X43" s="78" t="n"/>
    </row>
    <row r="44" hidden="1" ht="19.5" customHeight="1" s="150">
      <c r="A44" s="43" t="n"/>
      <c r="B44" s="31" t="inlineStr">
        <is>
          <t>Wages</t>
        </is>
      </c>
      <c r="C44" s="27" t="n"/>
      <c r="D44" s="29" t="n">
        <v>0</v>
      </c>
      <c r="E44" s="29" t="n">
        <v>0</v>
      </c>
      <c r="F44" s="29" t="n">
        <v>0</v>
      </c>
      <c r="G44" s="29" t="n">
        <v>0</v>
      </c>
      <c r="H44" s="29" t="n">
        <v>0</v>
      </c>
      <c r="I44" s="29" t="n">
        <v>0</v>
      </c>
      <c r="J44" s="29" t="n">
        <v>0</v>
      </c>
      <c r="K44" s="29" t="n">
        <v>0</v>
      </c>
      <c r="L44" s="29" t="n">
        <v>0</v>
      </c>
      <c r="M44" s="29" t="n">
        <v>0</v>
      </c>
      <c r="N44" s="29" t="n">
        <v>0</v>
      </c>
      <c r="O44" s="29" t="n">
        <v>0</v>
      </c>
      <c r="P44" s="19" t="n"/>
      <c r="Q44" s="29">
        <f>SUM(D44:O44)</f>
        <v/>
      </c>
      <c r="S44" s="43" t="n"/>
      <c r="T44" s="43" t="n"/>
      <c r="U44" s="43" t="n"/>
      <c r="V44" s="43" t="n"/>
      <c r="W44" s="43" t="n"/>
      <c r="X44" s="43" t="n"/>
      <c r="Y44" s="43" t="n"/>
      <c r="Z44" s="43" t="n"/>
    </row>
    <row r="45" hidden="1" ht="19.5" customHeight="1" s="150">
      <c r="A45" s="78" t="n"/>
      <c r="B45" s="31" t="inlineStr">
        <is>
          <t>Benefits</t>
        </is>
      </c>
      <c r="C45" s="27" t="n"/>
      <c r="D45" s="29" t="n">
        <v>0</v>
      </c>
      <c r="E45" s="29" t="n">
        <v>0</v>
      </c>
      <c r="F45" s="29" t="n">
        <v>0</v>
      </c>
      <c r="G45" s="29" t="n">
        <v>0</v>
      </c>
      <c r="H45" s="29" t="n">
        <v>0</v>
      </c>
      <c r="I45" s="29" t="n">
        <v>0</v>
      </c>
      <c r="J45" s="29" t="n">
        <v>0</v>
      </c>
      <c r="K45" s="29" t="n">
        <v>0</v>
      </c>
      <c r="L45" s="29" t="n">
        <v>0</v>
      </c>
      <c r="M45" s="29" t="n">
        <v>0</v>
      </c>
      <c r="N45" s="29" t="n">
        <v>0</v>
      </c>
      <c r="O45" s="29" t="n">
        <v>0</v>
      </c>
      <c r="P45" s="42" t="n"/>
      <c r="Q45" s="29">
        <f>SUM(D45:O45)</f>
        <v/>
      </c>
      <c r="R45" s="78" t="n"/>
      <c r="S45" s="78" t="n"/>
      <c r="T45" s="78" t="n"/>
      <c r="U45" s="78" t="n"/>
      <c r="V45" s="78" t="n"/>
      <c r="W45" s="78" t="n"/>
      <c r="X45" s="78" t="n"/>
    </row>
    <row r="46" hidden="1" ht="19.5" customHeight="1" s="150">
      <c r="A46" s="78" t="n"/>
      <c r="B46" s="31" t="inlineStr">
        <is>
          <t>Pension/Retirement</t>
        </is>
      </c>
      <c r="C46" s="27" t="n"/>
      <c r="D46" s="29" t="n">
        <v>0</v>
      </c>
      <c r="E46" s="29" t="n">
        <v>0</v>
      </c>
      <c r="F46" s="29" t="n">
        <v>0</v>
      </c>
      <c r="G46" s="29" t="n">
        <v>0</v>
      </c>
      <c r="H46" s="29" t="n">
        <v>0</v>
      </c>
      <c r="I46" s="29" t="n">
        <v>0</v>
      </c>
      <c r="J46" s="29" t="n">
        <v>0</v>
      </c>
      <c r="K46" s="29" t="n">
        <v>0</v>
      </c>
      <c r="L46" s="29" t="n">
        <v>0</v>
      </c>
      <c r="M46" s="29" t="n">
        <v>0</v>
      </c>
      <c r="N46" s="29" t="n">
        <v>0</v>
      </c>
      <c r="O46" s="29" t="n">
        <v>0</v>
      </c>
      <c r="P46" s="19" t="n"/>
      <c r="Q46" s="29">
        <f>SUM(D46:O46)</f>
        <v/>
      </c>
      <c r="S46" s="78" t="n"/>
      <c r="T46" s="78" t="n"/>
      <c r="U46" s="78" t="n"/>
      <c r="V46" s="78" t="n"/>
      <c r="W46" s="78" t="n"/>
      <c r="X46" s="78" t="n"/>
    </row>
    <row r="47" hidden="1" ht="19.5" customHeight="1" s="150">
      <c r="A47" s="78" t="n"/>
      <c r="B47" s="31" t="inlineStr">
        <is>
          <t>Commissions</t>
        </is>
      </c>
      <c r="C47" s="27" t="n"/>
      <c r="D47" s="29" t="n">
        <v>0</v>
      </c>
      <c r="E47" s="29" t="n">
        <v>0</v>
      </c>
      <c r="F47" s="29" t="n">
        <v>0</v>
      </c>
      <c r="G47" s="29" t="n">
        <v>0</v>
      </c>
      <c r="H47" s="29" t="n">
        <v>0</v>
      </c>
      <c r="I47" s="29" t="n">
        <v>0</v>
      </c>
      <c r="J47" s="29" t="n">
        <v>0</v>
      </c>
      <c r="K47" s="29" t="n">
        <v>0</v>
      </c>
      <c r="L47" s="29" t="n">
        <v>0</v>
      </c>
      <c r="M47" s="29" t="n">
        <v>0</v>
      </c>
      <c r="N47" s="29" t="n">
        <v>0</v>
      </c>
      <c r="O47" s="29" t="n">
        <v>0</v>
      </c>
      <c r="P47" s="19" t="n"/>
      <c r="Q47" s="29">
        <f>SUM(D47:O47)</f>
        <v/>
      </c>
      <c r="S47" s="78" t="n"/>
      <c r="T47" s="78" t="n"/>
      <c r="U47" s="78" t="n"/>
      <c r="V47" s="78" t="n"/>
      <c r="W47" s="78" t="n"/>
      <c r="X47" s="78" t="n"/>
    </row>
    <row r="48" hidden="1" ht="19.5" customHeight="1" s="150">
      <c r="A48" s="78" t="n"/>
      <c r="B48" s="31" t="inlineStr">
        <is>
          <t>Workers Comp</t>
        </is>
      </c>
      <c r="C48" s="27" t="n"/>
      <c r="D48" s="29" t="n">
        <v>0</v>
      </c>
      <c r="E48" s="29" t="n">
        <v>0</v>
      </c>
      <c r="F48" s="29" t="n">
        <v>0</v>
      </c>
      <c r="G48" s="29" t="n">
        <v>0</v>
      </c>
      <c r="H48" s="29" t="n">
        <v>0</v>
      </c>
      <c r="I48" s="29" t="n">
        <v>0</v>
      </c>
      <c r="J48" s="29" t="n">
        <v>0</v>
      </c>
      <c r="K48" s="29" t="n">
        <v>0</v>
      </c>
      <c r="L48" s="29" t="n">
        <v>0</v>
      </c>
      <c r="M48" s="29" t="n">
        <v>0</v>
      </c>
      <c r="N48" s="29" t="n">
        <v>0</v>
      </c>
      <c r="O48" s="29" t="n">
        <v>0</v>
      </c>
      <c r="P48" s="42" t="n"/>
      <c r="Q48" s="29">
        <f>SUM(D48:O48)</f>
        <v/>
      </c>
      <c r="R48" s="78" t="n"/>
      <c r="S48" s="78" t="n"/>
      <c r="T48" s="78" t="n"/>
      <c r="U48" s="78" t="n"/>
      <c r="V48" s="78" t="n"/>
      <c r="W48" s="78" t="n"/>
      <c r="X48" s="78" t="n"/>
    </row>
    <row r="49" hidden="1" ht="19.5" customHeight="1" s="150">
      <c r="A49" s="43" t="n"/>
      <c r="B49" s="31" t="inlineStr">
        <is>
          <t>Contract Labor</t>
        </is>
      </c>
      <c r="C49" s="27" t="n"/>
      <c r="D49" s="29" t="n">
        <v>0</v>
      </c>
      <c r="E49" s="29" t="n">
        <v>0</v>
      </c>
      <c r="F49" s="29" t="n">
        <v>0</v>
      </c>
      <c r="G49" s="29" t="n">
        <v>0</v>
      </c>
      <c r="H49" s="29" t="n">
        <v>0</v>
      </c>
      <c r="I49" s="29" t="n">
        <v>0</v>
      </c>
      <c r="J49" s="29" t="n">
        <v>0</v>
      </c>
      <c r="K49" s="29" t="n">
        <v>0</v>
      </c>
      <c r="L49" s="29" t="n">
        <v>0</v>
      </c>
      <c r="M49" s="29" t="n">
        <v>0</v>
      </c>
      <c r="N49" s="29" t="n">
        <v>0</v>
      </c>
      <c r="O49" s="29" t="n">
        <v>0</v>
      </c>
      <c r="P49" s="19" t="n"/>
      <c r="Q49" s="29">
        <f>SUM(D49:O49)</f>
        <v/>
      </c>
      <c r="S49" s="43" t="n"/>
      <c r="T49" s="43" t="n"/>
      <c r="U49" s="43" t="n"/>
      <c r="V49" s="43" t="n"/>
      <c r="W49" s="43" t="n"/>
      <c r="X49" s="43" t="n"/>
      <c r="Y49" s="43" t="n"/>
      <c r="Z49" s="43" t="n"/>
    </row>
    <row r="50" hidden="1" ht="19.5" customHeight="1" s="150">
      <c r="A50" s="78" t="n"/>
      <c r="B50" s="31" t="inlineStr">
        <is>
          <t>Training</t>
        </is>
      </c>
      <c r="C50" s="27" t="n"/>
      <c r="D50" s="29" t="n">
        <v>0</v>
      </c>
      <c r="E50" s="29" t="n">
        <v>0</v>
      </c>
      <c r="F50" s="29" t="n">
        <v>0</v>
      </c>
      <c r="G50" s="29" t="n">
        <v>0</v>
      </c>
      <c r="H50" s="29" t="n">
        <v>0</v>
      </c>
      <c r="I50" s="29" t="n">
        <v>0</v>
      </c>
      <c r="J50" s="29" t="n">
        <v>0</v>
      </c>
      <c r="K50" s="29" t="n">
        <v>0</v>
      </c>
      <c r="L50" s="29" t="n">
        <v>0</v>
      </c>
      <c r="M50" s="29" t="n">
        <v>0</v>
      </c>
      <c r="N50" s="29" t="n">
        <v>0</v>
      </c>
      <c r="O50" s="29" t="n">
        <v>0</v>
      </c>
      <c r="P50" s="42" t="n"/>
      <c r="Q50" s="29">
        <f>SUM(D50:O50)</f>
        <v/>
      </c>
      <c r="R50" s="78" t="n"/>
      <c r="S50" s="78" t="n"/>
      <c r="T50" s="78" t="n"/>
      <c r="U50" s="78" t="n"/>
      <c r="V50" s="78" t="n"/>
      <c r="W50" s="78" t="n"/>
      <c r="X50" s="78" t="n"/>
    </row>
    <row r="51" hidden="1" ht="19.5" customHeight="1" s="150">
      <c r="A51" s="78" t="n"/>
      <c r="B51" s="31" t="inlineStr">
        <is>
          <t>Other</t>
        </is>
      </c>
      <c r="C51" s="27" t="n"/>
      <c r="D51" s="29" t="n">
        <v>0</v>
      </c>
      <c r="E51" s="29" t="n">
        <v>0</v>
      </c>
      <c r="F51" s="29" t="n">
        <v>0</v>
      </c>
      <c r="G51" s="29" t="n">
        <v>0</v>
      </c>
      <c r="H51" s="29" t="n">
        <v>0</v>
      </c>
      <c r="I51" s="29" t="n">
        <v>0</v>
      </c>
      <c r="J51" s="29" t="n">
        <v>0</v>
      </c>
      <c r="K51" s="29" t="n">
        <v>0</v>
      </c>
      <c r="L51" s="29" t="n">
        <v>0</v>
      </c>
      <c r="M51" s="29" t="n">
        <v>0</v>
      </c>
      <c r="N51" s="29" t="n">
        <v>0</v>
      </c>
      <c r="O51" s="29" t="n">
        <v>0</v>
      </c>
      <c r="P51" s="19" t="n"/>
      <c r="Q51" s="29">
        <f>SUM(D51:O51)</f>
        <v/>
      </c>
      <c r="S51" s="78" t="n"/>
      <c r="T51" s="78" t="n"/>
      <c r="U51" s="78" t="n"/>
      <c r="V51" s="78" t="n"/>
      <c r="W51" s="78" t="n"/>
      <c r="X51" s="78" t="n"/>
    </row>
    <row r="52" hidden="1" ht="19.5" customHeight="1" s="150">
      <c r="A52" s="78" t="n"/>
      <c r="B52" s="16" t="inlineStr">
        <is>
          <t>TOTAL EMPLOYEE AND LABOR EXPENSE</t>
        </is>
      </c>
      <c r="C52" s="17" t="n"/>
      <c r="D52" s="18">
        <f>SUM(D43:D51)</f>
        <v/>
      </c>
      <c r="E52" s="18">
        <f>SUM(E43:E51)</f>
        <v/>
      </c>
      <c r="F52" s="18">
        <f>SUM(F43:F51)</f>
        <v/>
      </c>
      <c r="G52" s="18">
        <f>SUM(G43:G51)</f>
        <v/>
      </c>
      <c r="H52" s="18">
        <f>SUM(H43:H51)</f>
        <v/>
      </c>
      <c r="I52" s="18">
        <f>SUM(I43:I51)</f>
        <v/>
      </c>
      <c r="J52" s="18">
        <f>SUM(J43:J51)</f>
        <v/>
      </c>
      <c r="K52" s="18">
        <f>SUM(K43:K51)</f>
        <v/>
      </c>
      <c r="L52" s="18">
        <f>SUM(L43:L51)</f>
        <v/>
      </c>
      <c r="M52" s="18">
        <f>SUM(M43:M51)</f>
        <v/>
      </c>
      <c r="N52" s="18">
        <f>SUM(N43:N51)</f>
        <v/>
      </c>
      <c r="O52" s="18">
        <f>SUM(O43:O51)</f>
        <v/>
      </c>
      <c r="P52" s="42" t="n"/>
      <c r="Q52" s="18">
        <f>SUM(Q43:Q51)</f>
        <v/>
      </c>
      <c r="R52" s="78" t="n"/>
      <c r="S52" s="78" t="n"/>
      <c r="T52" s="78" t="n"/>
      <c r="U52" s="78" t="n"/>
      <c r="V52" s="78" t="n"/>
      <c r="W52" s="78" t="n"/>
      <c r="X52" s="78" t="n"/>
    </row>
    <row r="53" hidden="1" ht="19.5" customHeight="1" s="150">
      <c r="A53" s="78" t="n"/>
      <c r="B53" s="44" t="n"/>
      <c r="C53" s="78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  <c r="O53" s="44" t="n"/>
      <c r="P53" s="78" t="n"/>
      <c r="Q53" s="44" t="n"/>
      <c r="R53" s="78" t="n"/>
      <c r="S53" s="78" t="n"/>
      <c r="T53" s="78" t="n"/>
      <c r="U53" s="78" t="n"/>
      <c r="V53" s="78" t="n"/>
      <c r="W53" s="78" t="n"/>
      <c r="X53" s="78" t="n"/>
    </row>
    <row r="54" hidden="1" ht="19.5" customHeight="1" s="150">
      <c r="A54" s="78" t="n"/>
      <c r="B54" s="45" t="inlineStr">
        <is>
          <t>PROFESSIONAL SERVICES</t>
        </is>
      </c>
      <c r="C54" s="25" t="inlineStr">
        <is>
          <t>TREND</t>
        </is>
      </c>
      <c r="D54" s="25" t="inlineStr">
        <is>
          <t>JANUARY</t>
        </is>
      </c>
      <c r="E54" s="25" t="inlineStr">
        <is>
          <t>FEBRUARY</t>
        </is>
      </c>
      <c r="F54" s="25" t="inlineStr">
        <is>
          <t>MARCH</t>
        </is>
      </c>
      <c r="G54" s="25" t="inlineStr">
        <is>
          <t>APRIL</t>
        </is>
      </c>
      <c r="H54" s="25" t="inlineStr">
        <is>
          <t>MAY</t>
        </is>
      </c>
      <c r="I54" s="25" t="inlineStr">
        <is>
          <t>JUNE</t>
        </is>
      </c>
      <c r="J54" s="25" t="inlineStr">
        <is>
          <t>JULY</t>
        </is>
      </c>
      <c r="K54" s="25" t="inlineStr">
        <is>
          <t>AUGUST</t>
        </is>
      </c>
      <c r="L54" s="25" t="inlineStr">
        <is>
          <t>SEPTEMBER</t>
        </is>
      </c>
      <c r="M54" s="25" t="inlineStr">
        <is>
          <t>OCTOBER</t>
        </is>
      </c>
      <c r="N54" s="25" t="inlineStr">
        <is>
          <t>NOVEMBER</t>
        </is>
      </c>
      <c r="O54" s="25" t="inlineStr">
        <is>
          <t>DECEMBER</t>
        </is>
      </c>
      <c r="P54" s="78" t="n"/>
      <c r="Q54" s="25" t="inlineStr">
        <is>
          <t>YTD</t>
        </is>
      </c>
      <c r="R54" s="78" t="n"/>
      <c r="S54" s="78" t="n"/>
      <c r="T54" s="78" t="n"/>
      <c r="U54" s="78" t="n"/>
      <c r="V54" s="78" t="n"/>
      <c r="W54" s="78" t="n"/>
      <c r="X54" s="78" t="n"/>
    </row>
    <row r="55" hidden="1" ht="19.5" customHeight="1" s="150">
      <c r="A55" s="78" t="n"/>
      <c r="B55" s="31" t="inlineStr">
        <is>
          <t>Outside Services</t>
        </is>
      </c>
      <c r="C55" s="27" t="n"/>
      <c r="D55" s="29" t="n">
        <v>0</v>
      </c>
      <c r="E55" s="29" t="n">
        <v>0</v>
      </c>
      <c r="F55" s="29" t="n">
        <v>0</v>
      </c>
      <c r="G55" s="29" t="n">
        <v>0</v>
      </c>
      <c r="H55" s="29" t="n">
        <v>0</v>
      </c>
      <c r="I55" s="29" t="n">
        <v>0</v>
      </c>
      <c r="J55" s="29" t="n">
        <v>0</v>
      </c>
      <c r="K55" s="29" t="n">
        <v>0</v>
      </c>
      <c r="L55" s="29" t="n">
        <v>0</v>
      </c>
      <c r="M55" s="29" t="n">
        <v>0</v>
      </c>
      <c r="N55" s="29" t="n">
        <v>0</v>
      </c>
      <c r="O55" s="29" t="n">
        <v>0</v>
      </c>
      <c r="P55" s="78" t="n"/>
      <c r="Q55" s="29">
        <f>SUM(D55:O55)</f>
        <v/>
      </c>
      <c r="R55" s="78" t="n"/>
      <c r="S55" s="78" t="n"/>
      <c r="T55" s="78" t="n"/>
      <c r="U55" s="78" t="n"/>
      <c r="V55" s="78" t="n"/>
      <c r="W55" s="78" t="n"/>
      <c r="X55" s="78" t="n"/>
    </row>
    <row r="56" hidden="1" ht="19.5" customHeight="1" s="150">
      <c r="A56" s="78" t="n"/>
      <c r="B56" s="31" t="inlineStr">
        <is>
          <t>Accounting</t>
        </is>
      </c>
      <c r="C56" s="27" t="n"/>
      <c r="D56" s="29" t="n">
        <v>0</v>
      </c>
      <c r="E56" s="29" t="n">
        <v>0</v>
      </c>
      <c r="F56" s="29" t="n">
        <v>0</v>
      </c>
      <c r="G56" s="29" t="n">
        <v>0</v>
      </c>
      <c r="H56" s="29" t="n">
        <v>0</v>
      </c>
      <c r="I56" s="29" t="n">
        <v>0</v>
      </c>
      <c r="J56" s="29" t="n">
        <v>0</v>
      </c>
      <c r="K56" s="29" t="n">
        <v>0</v>
      </c>
      <c r="L56" s="29" t="n">
        <v>0</v>
      </c>
      <c r="M56" s="29" t="n">
        <v>0</v>
      </c>
      <c r="N56" s="29" t="n">
        <v>0</v>
      </c>
      <c r="O56" s="29" t="n">
        <v>0</v>
      </c>
      <c r="P56" s="78" t="n"/>
      <c r="Q56" s="29">
        <f>SUM(D56:O56)</f>
        <v/>
      </c>
      <c r="R56" s="78" t="n"/>
      <c r="S56" s="78" t="n"/>
      <c r="T56" s="78" t="n"/>
      <c r="U56" s="78" t="n"/>
      <c r="V56" s="78" t="n"/>
      <c r="W56" s="78" t="n"/>
      <c r="X56" s="78" t="n"/>
    </row>
    <row r="57" hidden="1" ht="19.5" customHeight="1" s="150">
      <c r="A57" s="78" t="n"/>
      <c r="B57" s="31" t="inlineStr">
        <is>
          <t>Legal</t>
        </is>
      </c>
      <c r="C57" s="27" t="n"/>
      <c r="D57" s="29" t="n">
        <v>0</v>
      </c>
      <c r="E57" s="29" t="n">
        <v>0</v>
      </c>
      <c r="F57" s="29" t="n">
        <v>0</v>
      </c>
      <c r="G57" s="29" t="n">
        <v>0</v>
      </c>
      <c r="H57" s="29" t="n">
        <v>0</v>
      </c>
      <c r="I57" s="29" t="n">
        <v>0</v>
      </c>
      <c r="J57" s="29" t="n">
        <v>0</v>
      </c>
      <c r="K57" s="29" t="n">
        <v>0</v>
      </c>
      <c r="L57" s="29" t="n">
        <v>0</v>
      </c>
      <c r="M57" s="29" t="n">
        <v>0</v>
      </c>
      <c r="N57" s="29" t="n">
        <v>0</v>
      </c>
      <c r="O57" s="29" t="n">
        <v>0</v>
      </c>
      <c r="P57" s="78" t="n"/>
      <c r="Q57" s="29">
        <f>SUM(D57:O57)</f>
        <v/>
      </c>
      <c r="R57" s="78" t="n"/>
      <c r="S57" s="78" t="n"/>
      <c r="T57" s="78" t="n"/>
      <c r="U57" s="78" t="n"/>
      <c r="V57" s="78" t="n"/>
      <c r="W57" s="78" t="n"/>
      <c r="X57" s="78" t="n"/>
    </row>
    <row r="58" hidden="1" ht="19.5" customHeight="1" s="150">
      <c r="A58" s="78" t="n"/>
      <c r="B58" s="31" t="inlineStr">
        <is>
          <t>Other</t>
        </is>
      </c>
      <c r="C58" s="27" t="n"/>
      <c r="D58" s="29" t="n">
        <v>0</v>
      </c>
      <c r="E58" s="29" t="n">
        <v>0</v>
      </c>
      <c r="F58" s="29" t="n">
        <v>0</v>
      </c>
      <c r="G58" s="29" t="n">
        <v>0</v>
      </c>
      <c r="H58" s="29" t="n">
        <v>0</v>
      </c>
      <c r="I58" s="29" t="n">
        <v>0</v>
      </c>
      <c r="J58" s="29" t="n">
        <v>0</v>
      </c>
      <c r="K58" s="29" t="n">
        <v>0</v>
      </c>
      <c r="L58" s="29" t="n">
        <v>0</v>
      </c>
      <c r="M58" s="29" t="n">
        <v>0</v>
      </c>
      <c r="N58" s="29" t="n">
        <v>0</v>
      </c>
      <c r="O58" s="29" t="n">
        <v>0</v>
      </c>
      <c r="P58" s="78" t="n"/>
      <c r="Q58" s="29">
        <f>SUM(D58:O58)</f>
        <v/>
      </c>
      <c r="R58" s="78" t="n"/>
      <c r="S58" s="78" t="n"/>
      <c r="T58" s="78" t="n"/>
      <c r="U58" s="78" t="n"/>
      <c r="V58" s="78" t="n"/>
      <c r="W58" s="78" t="n"/>
      <c r="X58" s="78" t="n"/>
    </row>
    <row r="59" hidden="1" ht="19.5" customHeight="1" s="150">
      <c r="A59" s="78" t="n"/>
      <c r="B59" s="31" t="inlineStr">
        <is>
          <t>Other</t>
        </is>
      </c>
      <c r="C59" s="27" t="n"/>
      <c r="D59" s="29" t="n">
        <v>0</v>
      </c>
      <c r="E59" s="29" t="n">
        <v>0</v>
      </c>
      <c r="F59" s="29" t="n">
        <v>0</v>
      </c>
      <c r="G59" s="29" t="n">
        <v>0</v>
      </c>
      <c r="H59" s="29" t="n">
        <v>0</v>
      </c>
      <c r="I59" s="29" t="n">
        <v>0</v>
      </c>
      <c r="J59" s="29" t="n">
        <v>0</v>
      </c>
      <c r="K59" s="29" t="n">
        <v>0</v>
      </c>
      <c r="L59" s="29" t="n">
        <v>0</v>
      </c>
      <c r="M59" s="29" t="n">
        <v>0</v>
      </c>
      <c r="N59" s="29" t="n">
        <v>0</v>
      </c>
      <c r="O59" s="29" t="n">
        <v>0</v>
      </c>
      <c r="P59" s="78" t="n"/>
      <c r="Q59" s="29">
        <f>SUM(D59:O59)</f>
        <v/>
      </c>
      <c r="R59" s="78" t="n"/>
      <c r="S59" s="78" t="n"/>
      <c r="T59" s="78" t="n"/>
      <c r="U59" s="78" t="n"/>
      <c r="V59" s="78" t="n"/>
      <c r="W59" s="78" t="n"/>
      <c r="X59" s="78" t="n"/>
    </row>
    <row r="60" hidden="1" ht="19.5" customHeight="1" s="150">
      <c r="A60" s="78" t="n"/>
      <c r="B60" s="16" t="inlineStr">
        <is>
          <t>TOTAL PROFESSIONAL SERVICES</t>
        </is>
      </c>
      <c r="C60" s="17" t="n"/>
      <c r="D60" s="18">
        <f>SUM(D55:D59)</f>
        <v/>
      </c>
      <c r="E60" s="18">
        <f>SUM(E55:E59)</f>
        <v/>
      </c>
      <c r="F60" s="18">
        <f>SUM(F55:F59)</f>
        <v/>
      </c>
      <c r="G60" s="18">
        <f>SUM(G55:G59)</f>
        <v/>
      </c>
      <c r="H60" s="18">
        <f>SUM(H55:H59)</f>
        <v/>
      </c>
      <c r="I60" s="18">
        <f>SUM(I55:I59)</f>
        <v/>
      </c>
      <c r="J60" s="18">
        <f>SUM(J55:J59)</f>
        <v/>
      </c>
      <c r="K60" s="18">
        <f>SUM(K55:K59)</f>
        <v/>
      </c>
      <c r="L60" s="18">
        <f>SUM(L55:L59)</f>
        <v/>
      </c>
      <c r="M60" s="18">
        <f>SUM(M55:M59)</f>
        <v/>
      </c>
      <c r="N60" s="18">
        <f>SUM(N55:N59)</f>
        <v/>
      </c>
      <c r="O60" s="18">
        <f>SUM(O55:O59)</f>
        <v/>
      </c>
      <c r="P60" s="78" t="n"/>
      <c r="Q60" s="18">
        <f>SUM(Q55:Q59)</f>
        <v/>
      </c>
      <c r="R60" s="78" t="n"/>
      <c r="S60" s="78" t="n"/>
      <c r="T60" s="78" t="n"/>
      <c r="U60" s="78" t="n"/>
      <c r="V60" s="78" t="n"/>
      <c r="W60" s="78" t="n"/>
      <c r="X60" s="78" t="n"/>
    </row>
    <row r="61" hidden="1" ht="19.5" customHeight="1" s="150">
      <c r="A61" s="78" t="n"/>
      <c r="B61" s="44" t="n"/>
      <c r="C61" s="78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78" t="n"/>
      <c r="Q61" s="44" t="n"/>
      <c r="R61" s="78" t="n"/>
      <c r="S61" s="78" t="n"/>
      <c r="T61" s="78" t="n"/>
      <c r="U61" s="78" t="n"/>
      <c r="V61" s="78" t="n"/>
      <c r="W61" s="78" t="n"/>
      <c r="X61" s="78" t="n"/>
    </row>
    <row r="62" ht="19.5" customHeight="1" s="150">
      <c r="A62" s="78" t="n"/>
      <c r="B62" s="46" t="inlineStr">
        <is>
          <t>BANKING AND FINANCE</t>
        </is>
      </c>
      <c r="C62" s="25" t="inlineStr">
        <is>
          <t>TREND</t>
        </is>
      </c>
      <c r="D62" s="25" t="inlineStr">
        <is>
          <t>JANUARY</t>
        </is>
      </c>
      <c r="E62" s="25" t="inlineStr">
        <is>
          <t>FEBRUARY</t>
        </is>
      </c>
      <c r="F62" s="25" t="inlineStr">
        <is>
          <t>MARCH</t>
        </is>
      </c>
      <c r="G62" s="25" t="inlineStr">
        <is>
          <t>APRIL</t>
        </is>
      </c>
      <c r="H62" s="25" t="inlineStr">
        <is>
          <t>MAY</t>
        </is>
      </c>
      <c r="I62" s="25" t="inlineStr">
        <is>
          <t>JUNE</t>
        </is>
      </c>
      <c r="J62" s="25" t="inlineStr">
        <is>
          <t>JULY</t>
        </is>
      </c>
      <c r="K62" s="25" t="inlineStr">
        <is>
          <t>AUGUST</t>
        </is>
      </c>
      <c r="L62" s="25" t="inlineStr">
        <is>
          <t>SEPTEMBER</t>
        </is>
      </c>
      <c r="M62" s="25" t="inlineStr">
        <is>
          <t>OCTOBER</t>
        </is>
      </c>
      <c r="N62" s="25" t="inlineStr">
        <is>
          <t>NOVEMBER</t>
        </is>
      </c>
      <c r="O62" s="25" t="inlineStr">
        <is>
          <t>DECEMBER</t>
        </is>
      </c>
      <c r="P62" s="78" t="n"/>
      <c r="Q62" s="25" t="inlineStr">
        <is>
          <t>YTD</t>
        </is>
      </c>
      <c r="R62" s="78" t="n"/>
      <c r="S62" s="78" t="n"/>
      <c r="T62" s="78" t="n"/>
      <c r="U62" s="78" t="n"/>
      <c r="V62" s="78" t="n"/>
      <c r="W62" s="78" t="n"/>
      <c r="X62" s="78" t="n"/>
    </row>
    <row r="63" ht="19.5" customHeight="1" s="150">
      <c r="A63" s="78" t="n"/>
      <c r="B63" s="31" t="inlineStr">
        <is>
          <t>IRS Debt (Payment Plan)  (Submitted Form 843 -$6700 / Next Interest)</t>
        </is>
      </c>
      <c r="C63" s="27" t="n"/>
      <c r="D63" s="29" t="n">
        <v>1345</v>
      </c>
      <c r="E63" s="29" t="n">
        <v>1345</v>
      </c>
      <c r="F63" s="29" t="n">
        <v>1345</v>
      </c>
      <c r="G63" s="29" t="n">
        <v>1345</v>
      </c>
      <c r="H63" s="29" t="n">
        <v>1345</v>
      </c>
      <c r="I63" s="29" t="n">
        <v>1345</v>
      </c>
      <c r="J63" s="29" t="n">
        <v>1345</v>
      </c>
      <c r="K63" s="29" t="n">
        <v>1345</v>
      </c>
      <c r="L63" s="29" t="n">
        <v>1345</v>
      </c>
      <c r="M63" s="29" t="n">
        <v>1345</v>
      </c>
      <c r="N63" s="29" t="n">
        <v>1345</v>
      </c>
      <c r="O63" s="29" t="n">
        <v>1345</v>
      </c>
      <c r="P63" s="78" t="n"/>
      <c r="Q63" s="29">
        <f>SUM(D63:O63)</f>
        <v/>
      </c>
      <c r="R63" s="78" t="n"/>
      <c r="S63" s="78" t="n"/>
      <c r="T63" s="78" t="n"/>
      <c r="U63" s="78" t="n"/>
      <c r="V63" s="78" t="n"/>
      <c r="W63" s="78" t="n"/>
      <c r="X63" s="78" t="n"/>
    </row>
    <row r="64" ht="19.5" customHeight="1" s="150">
      <c r="A64" s="78" t="n"/>
      <c r="B64" s="31" t="inlineStr">
        <is>
          <t>IRS Interest</t>
        </is>
      </c>
      <c r="C64" s="27" t="n"/>
      <c r="D64" s="29" t="n">
        <v>435</v>
      </c>
      <c r="E64" s="29" t="n">
        <v>435</v>
      </c>
      <c r="F64" s="29" t="n">
        <v>435</v>
      </c>
      <c r="G64" s="29" t="n">
        <v>435</v>
      </c>
      <c r="H64" s="29" t="n">
        <v>435</v>
      </c>
      <c r="I64" s="29" t="n">
        <v>435</v>
      </c>
      <c r="J64" s="29" t="n">
        <v>435</v>
      </c>
      <c r="K64" s="29" t="n">
        <v>435</v>
      </c>
      <c r="L64" s="29" t="n">
        <v>435</v>
      </c>
      <c r="M64" s="29" t="n">
        <v>435</v>
      </c>
      <c r="N64" s="29" t="n">
        <v>435</v>
      </c>
      <c r="O64" s="29" t="n">
        <v>435</v>
      </c>
      <c r="P64" s="78" t="n"/>
      <c r="Q64" s="29">
        <f>SUM(D64:O64)</f>
        <v/>
      </c>
      <c r="R64" s="78" t="n"/>
      <c r="S64" s="78" t="n"/>
      <c r="T64" s="78" t="n"/>
      <c r="U64" s="78" t="n"/>
      <c r="V64" s="78" t="n"/>
      <c r="W64" s="78" t="n"/>
      <c r="X64" s="78" t="n"/>
    </row>
    <row r="65" ht="19.5" customHeight="1" s="150">
      <c r="A65" s="78" t="n"/>
      <c r="B65" s="31" t="inlineStr">
        <is>
          <t>Loans (Collections) (Payment on 30th Each Month)</t>
        </is>
      </c>
      <c r="C65" s="27" t="n"/>
      <c r="D65" s="29" t="n">
        <v>400</v>
      </c>
      <c r="E65" s="29" t="n">
        <v>400</v>
      </c>
      <c r="F65" s="29" t="n">
        <v>400</v>
      </c>
      <c r="G65" s="29" t="n">
        <v>400</v>
      </c>
      <c r="H65" s="29" t="n">
        <v>400</v>
      </c>
      <c r="I65" s="29" t="n">
        <v>400</v>
      </c>
      <c r="J65" s="29" t="n">
        <v>400</v>
      </c>
      <c r="K65" s="29" t="n">
        <v>400</v>
      </c>
      <c r="L65" s="29" t="n">
        <v>400</v>
      </c>
      <c r="M65" s="29" t="n">
        <v>400</v>
      </c>
      <c r="N65" s="29" t="n">
        <v>400</v>
      </c>
      <c r="O65" s="29" t="n">
        <v>400</v>
      </c>
      <c r="P65" s="78" t="n"/>
      <c r="Q65" s="29">
        <f>SUM(D65:O65)</f>
        <v/>
      </c>
      <c r="R65" s="78" t="n"/>
      <c r="S65" s="78" t="n"/>
      <c r="T65" s="78" t="n"/>
      <c r="U65" s="78" t="n"/>
      <c r="V65" s="78" t="n"/>
      <c r="W65" s="78" t="n"/>
      <c r="X65" s="78" t="n"/>
    </row>
    <row r="66" ht="19.5" customHeight="1" s="150">
      <c r="A66" s="78" t="n"/>
      <c r="B66" s="31" t="inlineStr">
        <is>
          <t>Orion 59 (Collections) (Payment on 30th Each Month)</t>
        </is>
      </c>
      <c r="C66" s="27" t="n"/>
      <c r="D66" s="29" t="n">
        <v>200</v>
      </c>
      <c r="E66" s="29" t="n">
        <v>200</v>
      </c>
      <c r="F66" s="29" t="n">
        <v>200</v>
      </c>
      <c r="G66" s="29" t="n">
        <v>200</v>
      </c>
      <c r="H66" s="29" t="n">
        <v>200</v>
      </c>
      <c r="I66" s="29" t="n">
        <v>200</v>
      </c>
      <c r="J66" s="29" t="n">
        <v>200</v>
      </c>
      <c r="K66" s="29" t="n">
        <v>200</v>
      </c>
      <c r="L66" s="29" t="n">
        <v>200</v>
      </c>
      <c r="M66" s="29" t="n">
        <v>200</v>
      </c>
      <c r="N66" s="29" t="n">
        <v>200</v>
      </c>
      <c r="O66" s="29" t="n">
        <v>0</v>
      </c>
      <c r="P66" s="78" t="n"/>
      <c r="Q66" s="29">
        <f>SUM(D66:O66)</f>
        <v/>
      </c>
      <c r="R66" s="78" t="n"/>
      <c r="S66" s="78" t="n"/>
      <c r="T66" s="78" t="n"/>
      <c r="U66" s="78" t="n"/>
      <c r="V66" s="78" t="n"/>
      <c r="W66" s="78" t="n"/>
      <c r="X66" s="78" t="n"/>
    </row>
    <row r="67" ht="19.5" customHeight="1" s="150">
      <c r="A67" s="78" t="n"/>
      <c r="B67" s="31" t="inlineStr">
        <is>
          <t>Other</t>
        </is>
      </c>
      <c r="C67" s="27" t="n"/>
      <c r="D67" s="29" t="n">
        <v>0</v>
      </c>
      <c r="E67" s="29" t="n">
        <v>0</v>
      </c>
      <c r="F67" s="29" t="n">
        <v>0</v>
      </c>
      <c r="G67" s="29" t="n">
        <v>0</v>
      </c>
      <c r="H67" s="29" t="n">
        <v>0</v>
      </c>
      <c r="I67" s="29" t="n">
        <v>0</v>
      </c>
      <c r="J67" s="29" t="n">
        <v>0</v>
      </c>
      <c r="K67" s="29" t="n">
        <v>0</v>
      </c>
      <c r="L67" s="29" t="n">
        <v>0</v>
      </c>
      <c r="M67" s="29" t="n">
        <v>0</v>
      </c>
      <c r="N67" s="29" t="n">
        <v>0</v>
      </c>
      <c r="O67" s="29" t="n">
        <v>0</v>
      </c>
      <c r="P67" s="78" t="n"/>
      <c r="Q67" s="29">
        <f>SUM(D67:O67)</f>
        <v/>
      </c>
      <c r="R67" s="78" t="n"/>
      <c r="S67" s="78" t="n"/>
      <c r="T67" s="78" t="n"/>
      <c r="U67" s="78" t="n"/>
      <c r="V67" s="78" t="n"/>
      <c r="W67" s="78" t="n"/>
      <c r="X67" s="78" t="n"/>
    </row>
    <row r="68" ht="19.5" customHeight="1" s="150">
      <c r="A68" s="78" t="n"/>
      <c r="B68" s="16" t="inlineStr">
        <is>
          <t>TOTAL BANKING AND FINANCE</t>
        </is>
      </c>
      <c r="C68" s="17" t="n"/>
      <c r="D68" s="18">
        <f>SUM(D63:D67)</f>
        <v/>
      </c>
      <c r="E68" s="18">
        <f>SUM(E63:E67)</f>
        <v/>
      </c>
      <c r="F68" s="18">
        <f>SUM(F63:F67)</f>
        <v/>
      </c>
      <c r="G68" s="18">
        <f>SUM(G63:G67)</f>
        <v/>
      </c>
      <c r="H68" s="18">
        <f>SUM(H63:H67)</f>
        <v/>
      </c>
      <c r="I68" s="18">
        <f>SUM(I63:I67)</f>
        <v/>
      </c>
      <c r="J68" s="18">
        <f>SUM(J63:J67)</f>
        <v/>
      </c>
      <c r="K68" s="18">
        <f>SUM(K63:K67)</f>
        <v/>
      </c>
      <c r="L68" s="18">
        <f>SUM(L63:L67)</f>
        <v/>
      </c>
      <c r="M68" s="18">
        <f>SUM(M63:M67)</f>
        <v/>
      </c>
      <c r="N68" s="18">
        <f>SUM(N63:N67)</f>
        <v/>
      </c>
      <c r="O68" s="18">
        <f>SUM(O63:O67)</f>
        <v/>
      </c>
      <c r="P68" s="78" t="n"/>
      <c r="Q68" s="18">
        <f>SUM(Q63:Q67)</f>
        <v/>
      </c>
      <c r="R68" s="78" t="n"/>
      <c r="S68" s="78" t="n"/>
      <c r="T68" s="78" t="n"/>
      <c r="U68" s="78" t="n"/>
      <c r="V68" s="78" t="n"/>
      <c r="W68" s="78" t="n"/>
      <c r="X68" s="78" t="n"/>
    </row>
    <row r="69" ht="19.5" customHeight="1" s="150">
      <c r="A69" s="78" t="n"/>
      <c r="B69" s="47" t="n"/>
      <c r="C69" s="48" t="n"/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78" t="n"/>
      <c r="Q69" s="44" t="n"/>
      <c r="R69" s="78" t="n"/>
      <c r="S69" s="78" t="n"/>
      <c r="T69" s="78" t="n"/>
      <c r="U69" s="78" t="n"/>
      <c r="V69" s="78" t="n"/>
      <c r="W69" s="78" t="n"/>
      <c r="X69" s="78" t="n"/>
    </row>
    <row r="70" ht="19.5" customHeight="1" s="150">
      <c r="A70" s="78" t="n"/>
      <c r="B70" s="45" t="inlineStr">
        <is>
          <t>GENERAL BUSINESS</t>
        </is>
      </c>
      <c r="C70" s="25" t="inlineStr">
        <is>
          <t>TREND</t>
        </is>
      </c>
      <c r="D70" s="25" t="inlineStr">
        <is>
          <t>JANUARY</t>
        </is>
      </c>
      <c r="E70" s="25" t="inlineStr">
        <is>
          <t>FEBRUARY</t>
        </is>
      </c>
      <c r="F70" s="25" t="inlineStr">
        <is>
          <t>MARCH</t>
        </is>
      </c>
      <c r="G70" s="25" t="inlineStr">
        <is>
          <t>APRIL</t>
        </is>
      </c>
      <c r="H70" s="25" t="inlineStr">
        <is>
          <t>MAY</t>
        </is>
      </c>
      <c r="I70" s="25" t="inlineStr">
        <is>
          <t>JUNE</t>
        </is>
      </c>
      <c r="J70" s="25" t="inlineStr">
        <is>
          <t>JULY</t>
        </is>
      </c>
      <c r="K70" s="25" t="inlineStr">
        <is>
          <t>AUGUST</t>
        </is>
      </c>
      <c r="L70" s="25" t="inlineStr">
        <is>
          <t>SEPTEMBER</t>
        </is>
      </c>
      <c r="M70" s="25" t="inlineStr">
        <is>
          <t>OCTOBER</t>
        </is>
      </c>
      <c r="N70" s="25" t="inlineStr">
        <is>
          <t>NOVEMBER</t>
        </is>
      </c>
      <c r="O70" s="25" t="inlineStr">
        <is>
          <t>DECEMBER</t>
        </is>
      </c>
      <c r="P70" s="78" t="n"/>
      <c r="Q70" s="25" t="inlineStr">
        <is>
          <t>YTD</t>
        </is>
      </c>
      <c r="R70" s="78" t="n"/>
      <c r="S70" s="78" t="n"/>
      <c r="T70" s="78" t="n"/>
      <c r="U70" s="78" t="n"/>
      <c r="V70" s="78" t="n"/>
      <c r="W70" s="78" t="n"/>
      <c r="X70" s="78" t="n"/>
    </row>
    <row r="71" ht="19.5" customHeight="1" s="150">
      <c r="A71" s="78" t="n"/>
      <c r="B71" s="31" t="inlineStr">
        <is>
          <t xml:space="preserve">Rent and Mortgage </t>
        </is>
      </c>
      <c r="C71" s="27" t="n"/>
      <c r="D71" s="29" t="n">
        <v>375</v>
      </c>
      <c r="E71" s="29" t="n">
        <v>375</v>
      </c>
      <c r="F71" s="29" t="n">
        <v>375</v>
      </c>
      <c r="G71" s="29" t="n">
        <v>850</v>
      </c>
      <c r="H71" s="29" t="n">
        <v>850</v>
      </c>
      <c r="I71" s="29" t="n">
        <v>850</v>
      </c>
      <c r="J71" s="29" t="n">
        <v>850</v>
      </c>
      <c r="K71" s="29" t="n">
        <v>850</v>
      </c>
      <c r="L71" s="29" t="n">
        <v>850</v>
      </c>
      <c r="M71" s="29" t="n">
        <v>850</v>
      </c>
      <c r="N71" s="29" t="n">
        <v>850</v>
      </c>
      <c r="O71" s="29" t="n">
        <v>850</v>
      </c>
      <c r="P71" s="78" t="n"/>
      <c r="Q71" s="29">
        <f>SUM(D71:O71)</f>
        <v/>
      </c>
      <c r="R71" s="78" t="n"/>
      <c r="S71" s="78" t="n"/>
      <c r="T71" s="78" t="n"/>
      <c r="U71" s="78" t="n"/>
      <c r="V71" s="78" t="n"/>
      <c r="W71" s="78" t="n"/>
      <c r="X71" s="78" t="n"/>
    </row>
    <row r="72" ht="19.5" customHeight="1" s="150">
      <c r="A72" s="78" t="n"/>
      <c r="B72" s="31" t="inlineStr">
        <is>
          <t>Health Insurance</t>
        </is>
      </c>
      <c r="C72" s="27" t="n"/>
      <c r="D72" s="29" t="n">
        <v>20</v>
      </c>
      <c r="E72" s="29" t="n">
        <v>20</v>
      </c>
      <c r="F72" s="29" t="n">
        <v>20</v>
      </c>
      <c r="G72" s="29" t="n">
        <v>20</v>
      </c>
      <c r="H72" s="29" t="n">
        <v>20</v>
      </c>
      <c r="I72" s="29" t="n">
        <v>20</v>
      </c>
      <c r="J72" s="29" t="n">
        <v>20</v>
      </c>
      <c r="K72" s="29" t="n">
        <v>20</v>
      </c>
      <c r="L72" s="29" t="n">
        <v>20</v>
      </c>
      <c r="M72" s="29" t="n">
        <v>20</v>
      </c>
      <c r="N72" s="29" t="n">
        <v>20</v>
      </c>
      <c r="O72" s="29" t="n">
        <v>20</v>
      </c>
      <c r="P72" s="78" t="n"/>
      <c r="Q72" s="29">
        <f>SUM(D72:O72)</f>
        <v/>
      </c>
      <c r="R72" s="78" t="n"/>
      <c r="S72" s="78" t="n"/>
      <c r="T72" s="78" t="n"/>
      <c r="U72" s="78" t="n"/>
      <c r="V72" s="78" t="n"/>
      <c r="W72" s="78" t="n"/>
      <c r="X72" s="78" t="n"/>
    </row>
    <row r="73" ht="19.5" customHeight="1" s="150">
      <c r="A73" s="78" t="n"/>
      <c r="B73" s="31" t="inlineStr">
        <is>
          <t>Life Insurance</t>
        </is>
      </c>
      <c r="C73" s="27" t="n"/>
      <c r="D73" s="29" t="n">
        <v>12.5</v>
      </c>
      <c r="E73" s="29" t="n">
        <v>12.5</v>
      </c>
      <c r="F73" s="29" t="n">
        <v>12.5</v>
      </c>
      <c r="G73" s="29" t="n">
        <v>12.5</v>
      </c>
      <c r="H73" s="29" t="n">
        <v>12.5</v>
      </c>
      <c r="I73" s="29" t="n">
        <v>12.5</v>
      </c>
      <c r="J73" s="29" t="n">
        <v>12.5</v>
      </c>
      <c r="K73" s="29" t="n">
        <v>12.5</v>
      </c>
      <c r="L73" s="29" t="n">
        <v>12.5</v>
      </c>
      <c r="M73" s="29" t="n">
        <v>12.5</v>
      </c>
      <c r="N73" s="29" t="n">
        <v>12.5</v>
      </c>
      <c r="O73" s="29" t="n">
        <v>12.5</v>
      </c>
      <c r="P73" s="78" t="n"/>
      <c r="Q73" s="29">
        <f>SUM(D73:O73)</f>
        <v/>
      </c>
      <c r="R73" s="78" t="n"/>
      <c r="S73" s="78" t="n"/>
      <c r="T73" s="78" t="n"/>
      <c r="U73" s="78" t="n"/>
      <c r="V73" s="78" t="n"/>
      <c r="W73" s="78" t="n"/>
      <c r="X73" s="78" t="n"/>
    </row>
    <row r="74" ht="19.5" customHeight="1" s="150">
      <c r="A74" s="78" t="n"/>
      <c r="B74" s="31" t="inlineStr">
        <is>
          <t>Utilities</t>
        </is>
      </c>
      <c r="C74" s="27" t="n"/>
      <c r="D74" s="29" t="n">
        <v>0</v>
      </c>
      <c r="E74" s="29" t="n">
        <v>100</v>
      </c>
      <c r="F74" s="29" t="n">
        <v>100</v>
      </c>
      <c r="G74" s="29" t="n">
        <v>100</v>
      </c>
      <c r="H74" s="29" t="n">
        <v>100</v>
      </c>
      <c r="I74" s="29" t="n">
        <v>100</v>
      </c>
      <c r="J74" s="29" t="n">
        <v>100</v>
      </c>
      <c r="K74" s="29" t="n">
        <v>100</v>
      </c>
      <c r="L74" s="29" t="n">
        <v>100</v>
      </c>
      <c r="M74" s="29" t="n">
        <v>100</v>
      </c>
      <c r="N74" s="29" t="n">
        <v>100</v>
      </c>
      <c r="O74" s="29" t="n">
        <v>100</v>
      </c>
      <c r="P74" s="78" t="n"/>
      <c r="Q74" s="29">
        <f>SUM(D74:O74)</f>
        <v/>
      </c>
      <c r="R74" s="78" t="n"/>
      <c r="S74" s="78" t="n"/>
      <c r="T74" s="78" t="n"/>
      <c r="U74" s="78" t="n"/>
      <c r="V74" s="78" t="n"/>
      <c r="W74" s="78" t="n"/>
      <c r="X74" s="78" t="n"/>
    </row>
    <row r="75" ht="19.5" customHeight="1" s="150">
      <c r="A75" s="78" t="n"/>
      <c r="B75" s="31" t="inlineStr">
        <is>
          <t>Telecommunication</t>
        </is>
      </c>
      <c r="C75" s="27" t="n"/>
      <c r="D75" s="29" t="n">
        <v>125</v>
      </c>
      <c r="E75" s="29" t="n">
        <v>150</v>
      </c>
      <c r="F75" s="29" t="n">
        <v>80</v>
      </c>
      <c r="G75" s="29" t="n">
        <v>80</v>
      </c>
      <c r="H75" s="29" t="n">
        <v>80</v>
      </c>
      <c r="I75" s="29" t="n">
        <v>80</v>
      </c>
      <c r="J75" s="29" t="n">
        <v>80</v>
      </c>
      <c r="K75" s="29" t="n">
        <v>80</v>
      </c>
      <c r="L75" s="29" t="n">
        <v>80</v>
      </c>
      <c r="M75" s="29" t="n">
        <v>80</v>
      </c>
      <c r="N75" s="29" t="n">
        <v>80</v>
      </c>
      <c r="O75" s="29" t="n">
        <v>80</v>
      </c>
      <c r="P75" s="78" t="n"/>
      <c r="Q75" s="29">
        <f>SUM(D75:O75)</f>
        <v/>
      </c>
      <c r="R75" s="78" t="n"/>
      <c r="S75" s="78" t="n"/>
      <c r="T75" s="78" t="n"/>
      <c r="U75" s="78" t="n"/>
      <c r="V75" s="78" t="n"/>
      <c r="W75" s="78" t="n"/>
      <c r="X75" s="78" t="n"/>
    </row>
    <row r="76" ht="19.5" customHeight="1" s="150">
      <c r="A76" s="78" t="n"/>
      <c r="B76" s="31" t="inlineStr">
        <is>
          <t>Web Hosting</t>
        </is>
      </c>
      <c r="C76" s="27" t="n"/>
      <c r="D76" s="29" t="n">
        <v>50</v>
      </c>
      <c r="E76" s="29" t="n">
        <v>50</v>
      </c>
      <c r="F76" s="29" t="n">
        <v>50</v>
      </c>
      <c r="G76" s="29" t="n">
        <v>50</v>
      </c>
      <c r="H76" s="29" t="n">
        <v>50</v>
      </c>
      <c r="I76" s="29" t="n">
        <v>50</v>
      </c>
      <c r="J76" s="29" t="n">
        <v>50</v>
      </c>
      <c r="K76" s="29" t="n">
        <v>50</v>
      </c>
      <c r="L76" s="29" t="n">
        <v>50</v>
      </c>
      <c r="M76" s="29" t="n">
        <v>50</v>
      </c>
      <c r="N76" s="29" t="n">
        <v>50</v>
      </c>
      <c r="O76" s="29" t="n">
        <v>50</v>
      </c>
      <c r="P76" s="78" t="n"/>
      <c r="Q76" s="29">
        <f>SUM(D76:O76)</f>
        <v/>
      </c>
      <c r="R76" s="78" t="n"/>
      <c r="S76" s="78" t="n"/>
      <c r="T76" s="78" t="n"/>
      <c r="U76" s="78" t="n"/>
      <c r="V76" s="78" t="n"/>
      <c r="W76" s="78" t="n"/>
      <c r="X76" s="78" t="n"/>
    </row>
    <row r="77" ht="19.5" customHeight="1" s="150">
      <c r="A77" s="78" t="n"/>
      <c r="B77" s="31" t="inlineStr">
        <is>
          <t>Subscriptions</t>
        </is>
      </c>
      <c r="C77" s="27" t="n"/>
      <c r="D77" s="29" t="n">
        <v>20</v>
      </c>
      <c r="E77" s="29" t="n">
        <v>200</v>
      </c>
      <c r="F77" s="29" t="n">
        <v>20</v>
      </c>
      <c r="G77" s="29" t="n">
        <v>20</v>
      </c>
      <c r="H77" s="29" t="n">
        <v>20</v>
      </c>
      <c r="I77" s="29" t="n">
        <v>20</v>
      </c>
      <c r="J77" s="29" t="n">
        <v>20</v>
      </c>
      <c r="K77" s="29" t="n">
        <v>20</v>
      </c>
      <c r="L77" s="29" t="n">
        <v>20</v>
      </c>
      <c r="M77" s="29" t="n">
        <v>20</v>
      </c>
      <c r="N77" s="29" t="n">
        <v>20</v>
      </c>
      <c r="O77" s="29" t="n">
        <v>20</v>
      </c>
      <c r="P77" s="78" t="n"/>
      <c r="Q77" s="29">
        <f>SUM(D77:O77)</f>
        <v/>
      </c>
      <c r="R77" s="78" t="n"/>
      <c r="S77" s="78" t="n"/>
      <c r="T77" s="78" t="n"/>
      <c r="U77" s="78" t="n"/>
      <c r="V77" s="78" t="n"/>
      <c r="W77" s="78" t="n"/>
      <c r="X77" s="78" t="n"/>
    </row>
    <row r="78" ht="19.5" customHeight="1" s="150">
      <c r="A78" s="78" t="n"/>
      <c r="B78" s="31" t="inlineStr">
        <is>
          <t>Travel</t>
        </is>
      </c>
      <c r="C78" s="27" t="n"/>
      <c r="D78" s="29" t="n">
        <v>750</v>
      </c>
      <c r="E78" s="29" t="n">
        <v>0</v>
      </c>
      <c r="F78" s="29" t="n">
        <v>0</v>
      </c>
      <c r="G78" s="29" t="n">
        <v>250</v>
      </c>
      <c r="H78" s="29" t="n">
        <v>0</v>
      </c>
      <c r="I78" s="29" t="n">
        <v>0</v>
      </c>
      <c r="J78" s="29" t="n">
        <v>0</v>
      </c>
      <c r="K78" s="29" t="n">
        <v>250</v>
      </c>
      <c r="L78" s="29" t="n">
        <v>0</v>
      </c>
      <c r="M78" s="29" t="n">
        <v>0</v>
      </c>
      <c r="N78" s="29" t="n">
        <v>250</v>
      </c>
      <c r="O78" s="29" t="n">
        <v>250</v>
      </c>
      <c r="P78" s="78" t="n"/>
      <c r="Q78" s="29">
        <f>SUM(D78:O78)</f>
        <v/>
      </c>
      <c r="R78" s="78" t="n"/>
      <c r="S78" s="78" t="n"/>
      <c r="T78" s="78" t="n"/>
      <c r="U78" s="78" t="n"/>
      <c r="V78" s="78" t="n"/>
      <c r="W78" s="78" t="n"/>
      <c r="X78" s="78" t="n"/>
    </row>
    <row r="79" ht="19.5" customHeight="1" s="150">
      <c r="A79" s="78" t="n"/>
      <c r="B79" s="31" t="inlineStr">
        <is>
          <t>Meals</t>
        </is>
      </c>
      <c r="C79" s="27" t="n"/>
      <c r="D79" s="29" t="n">
        <v>250</v>
      </c>
      <c r="E79" s="29" t="n">
        <v>500</v>
      </c>
      <c r="F79" s="29" t="n">
        <v>500</v>
      </c>
      <c r="G79" s="29" t="n">
        <v>500</v>
      </c>
      <c r="H79" s="29" t="n">
        <v>500</v>
      </c>
      <c r="I79" s="29" t="n">
        <v>500</v>
      </c>
      <c r="J79" s="29" t="n">
        <v>500</v>
      </c>
      <c r="K79" s="29" t="n">
        <v>500</v>
      </c>
      <c r="L79" s="29" t="n">
        <v>500</v>
      </c>
      <c r="M79" s="29" t="n">
        <v>500</v>
      </c>
      <c r="N79" s="29" t="n">
        <v>500</v>
      </c>
      <c r="O79" s="29" t="n">
        <v>500</v>
      </c>
      <c r="P79" s="78" t="n"/>
      <c r="Q79" s="29">
        <f>SUM(D79:O79)</f>
        <v/>
      </c>
      <c r="R79" s="78" t="n"/>
      <c r="S79" s="78" t="n"/>
      <c r="T79" s="78" t="n"/>
      <c r="U79" s="78" t="n"/>
      <c r="V79" s="78" t="n"/>
      <c r="W79" s="78" t="n"/>
      <c r="X79" s="78" t="n"/>
    </row>
    <row r="80" ht="19.5" customHeight="1" s="150">
      <c r="A80" s="78" t="n"/>
      <c r="B80" s="31" t="inlineStr">
        <is>
          <t>Restaurants</t>
        </is>
      </c>
      <c r="C80" s="27" t="n"/>
      <c r="D80" s="29" t="n">
        <v>50</v>
      </c>
      <c r="E80" s="29" t="n">
        <v>100</v>
      </c>
      <c r="F80" s="29" t="n">
        <v>100</v>
      </c>
      <c r="G80" s="29" t="n">
        <v>100</v>
      </c>
      <c r="H80" s="29" t="n">
        <v>100</v>
      </c>
      <c r="I80" s="29" t="n">
        <v>100</v>
      </c>
      <c r="J80" s="29" t="n">
        <v>100</v>
      </c>
      <c r="K80" s="29" t="n">
        <v>100</v>
      </c>
      <c r="L80" s="29" t="n">
        <v>100</v>
      </c>
      <c r="M80" s="29" t="n">
        <v>100</v>
      </c>
      <c r="N80" s="29" t="n">
        <v>100</v>
      </c>
      <c r="O80" s="29" t="n">
        <v>100</v>
      </c>
      <c r="P80" s="78" t="n"/>
      <c r="Q80" s="29">
        <f>SUM(D80:O80)</f>
        <v/>
      </c>
      <c r="R80" s="78" t="n"/>
      <c r="S80" s="78" t="n"/>
      <c r="T80" s="78" t="n"/>
      <c r="U80" s="78" t="n"/>
      <c r="V80" s="78" t="n"/>
      <c r="W80" s="78" t="n"/>
      <c r="X80" s="78" t="n"/>
    </row>
    <row r="81" ht="19.5" customHeight="1" s="150">
      <c r="A81" s="78" t="n"/>
      <c r="B81" s="31" t="inlineStr">
        <is>
          <t>Other</t>
        </is>
      </c>
      <c r="C81" s="27" t="n"/>
      <c r="D81" s="29">
        <f>25+25+400+75</f>
        <v/>
      </c>
      <c r="E81" s="29" t="n">
        <v>500</v>
      </c>
      <c r="F81" s="29" t="n">
        <v>0</v>
      </c>
      <c r="G81" s="29" t="n">
        <v>0</v>
      </c>
      <c r="H81" s="29" t="n">
        <v>0</v>
      </c>
      <c r="I81" s="29" t="n">
        <v>0</v>
      </c>
      <c r="J81" s="29" t="n">
        <v>0</v>
      </c>
      <c r="K81" s="29" t="n">
        <v>0</v>
      </c>
      <c r="L81" s="29" t="n">
        <v>0</v>
      </c>
      <c r="M81" s="29" t="n">
        <v>0</v>
      </c>
      <c r="N81" s="29" t="n">
        <v>0</v>
      </c>
      <c r="O81" s="29" t="n">
        <v>0</v>
      </c>
      <c r="P81" s="78" t="n"/>
      <c r="Q81" s="29">
        <f>SUM(D81:O81)</f>
        <v/>
      </c>
      <c r="R81" s="78" t="n"/>
      <c r="S81" s="78" t="n"/>
      <c r="T81" s="78" t="n"/>
      <c r="U81" s="78" t="n"/>
      <c r="V81" s="78" t="n"/>
      <c r="W81" s="78" t="n"/>
      <c r="X81" s="78" t="n"/>
    </row>
    <row r="82" ht="19.5" customHeight="1" s="150">
      <c r="A82" s="78" t="n"/>
      <c r="B82" s="16" t="inlineStr">
        <is>
          <t>TOTAL GENERAL BUSINESS</t>
        </is>
      </c>
      <c r="C82" s="17" t="n"/>
      <c r="D82" s="18">
        <f>SUM(D71:D81)</f>
        <v/>
      </c>
      <c r="E82" s="18">
        <f>SUM(E71:E81)</f>
        <v/>
      </c>
      <c r="F82" s="18">
        <f>SUM(F71:F81)</f>
        <v/>
      </c>
      <c r="G82" s="18">
        <f>SUM(G71:G81)</f>
        <v/>
      </c>
      <c r="H82" s="18">
        <f>SUM(H71:H81)</f>
        <v/>
      </c>
      <c r="I82" s="18">
        <f>SUM(I71:I81)</f>
        <v/>
      </c>
      <c r="J82" s="18">
        <f>SUM(J71:J81)</f>
        <v/>
      </c>
      <c r="K82" s="18">
        <f>SUM(K71:K81)</f>
        <v/>
      </c>
      <c r="L82" s="18">
        <f>SUM(L71:L81)</f>
        <v/>
      </c>
      <c r="M82" s="18">
        <f>SUM(M71:M81)</f>
        <v/>
      </c>
      <c r="N82" s="18">
        <f>SUM(N71:N81)</f>
        <v/>
      </c>
      <c r="O82" s="18">
        <f>SUM(O71:O81)</f>
        <v/>
      </c>
      <c r="P82" s="78" t="n"/>
      <c r="Q82" s="18">
        <f>SUM(Q71:Q81)</f>
        <v/>
      </c>
      <c r="R82" s="78" t="n"/>
      <c r="S82" s="78" t="n"/>
      <c r="T82" s="78" t="n"/>
      <c r="U82" s="78" t="n"/>
      <c r="V82" s="78" t="n"/>
      <c r="W82" s="78" t="n"/>
      <c r="X82" s="78" t="n"/>
    </row>
    <row r="83" ht="19.5" customHeight="1" s="150">
      <c r="A83" s="78" t="n"/>
      <c r="B83" s="44" t="n"/>
      <c r="C83" s="78" t="n"/>
      <c r="D83" s="44" t="n"/>
      <c r="E83" s="44" t="n"/>
      <c r="F83" s="44" t="n"/>
      <c r="G83" s="44" t="n"/>
      <c r="H83" s="44" t="n"/>
      <c r="I83" s="44" t="n"/>
      <c r="J83" s="44" t="n"/>
      <c r="K83" s="44" t="n"/>
      <c r="L83" s="44" t="n"/>
      <c r="M83" s="44" t="n"/>
      <c r="N83" s="44" t="n"/>
      <c r="O83" s="44" t="n"/>
      <c r="P83" s="78" t="n"/>
      <c r="Q83" s="44" t="n"/>
      <c r="R83" s="78" t="n"/>
      <c r="S83" s="78" t="n"/>
      <c r="T83" s="78" t="n"/>
      <c r="U83" s="78" t="n"/>
      <c r="V83" s="78" t="n"/>
      <c r="W83" s="78" t="n"/>
      <c r="X83" s="78" t="n"/>
    </row>
    <row r="84" ht="19.5" customHeight="1" s="150">
      <c r="A84" s="78" t="n"/>
      <c r="B84" s="45" t="inlineStr">
        <is>
          <t>VEHICLE EXPENSE</t>
        </is>
      </c>
      <c r="C84" s="25" t="inlineStr">
        <is>
          <t>TREND</t>
        </is>
      </c>
      <c r="D84" s="25" t="inlineStr">
        <is>
          <t>JANUARY</t>
        </is>
      </c>
      <c r="E84" s="25" t="inlineStr">
        <is>
          <t>FEBRUARY</t>
        </is>
      </c>
      <c r="F84" s="25" t="inlineStr">
        <is>
          <t>MARCH</t>
        </is>
      </c>
      <c r="G84" s="25" t="inlineStr">
        <is>
          <t>APRIL</t>
        </is>
      </c>
      <c r="H84" s="25" t="inlineStr">
        <is>
          <t>MAY</t>
        </is>
      </c>
      <c r="I84" s="25" t="inlineStr">
        <is>
          <t>JUNE</t>
        </is>
      </c>
      <c r="J84" s="25" t="inlineStr">
        <is>
          <t>JULY</t>
        </is>
      </c>
      <c r="K84" s="25" t="inlineStr">
        <is>
          <t>AUGUST</t>
        </is>
      </c>
      <c r="L84" s="25" t="inlineStr">
        <is>
          <t>SEPTEMBER</t>
        </is>
      </c>
      <c r="M84" s="25" t="inlineStr">
        <is>
          <t>OCTOBER</t>
        </is>
      </c>
      <c r="N84" s="25" t="inlineStr">
        <is>
          <t>NOVEMBER</t>
        </is>
      </c>
      <c r="O84" s="25" t="inlineStr">
        <is>
          <t>DECEMBER</t>
        </is>
      </c>
      <c r="P84" s="78" t="n"/>
      <c r="Q84" s="25" t="inlineStr">
        <is>
          <t>YTD</t>
        </is>
      </c>
      <c r="R84" s="78" t="n"/>
      <c r="S84" s="78" t="n"/>
      <c r="T84" s="78" t="n"/>
      <c r="U84" s="78" t="n"/>
      <c r="V84" s="78" t="n"/>
      <c r="W84" s="78" t="n"/>
      <c r="X84" s="78" t="n"/>
    </row>
    <row r="85" ht="19.5" customHeight="1" s="150">
      <c r="A85" s="78" t="n"/>
      <c r="B85" s="31" t="inlineStr">
        <is>
          <t>Gas</t>
        </is>
      </c>
      <c r="C85" s="27" t="n"/>
      <c r="D85" s="29" t="n">
        <v>200</v>
      </c>
      <c r="E85" s="29" t="n">
        <v>200</v>
      </c>
      <c r="F85" s="29" t="n">
        <v>100</v>
      </c>
      <c r="G85" s="29" t="n">
        <v>100</v>
      </c>
      <c r="H85" s="29" t="n">
        <v>100</v>
      </c>
      <c r="I85" s="29" t="n">
        <v>100</v>
      </c>
      <c r="J85" s="29" t="n">
        <v>100</v>
      </c>
      <c r="K85" s="29" t="n">
        <v>100</v>
      </c>
      <c r="L85" s="29" t="n">
        <v>100</v>
      </c>
      <c r="M85" s="29" t="n">
        <v>100</v>
      </c>
      <c r="N85" s="29" t="n">
        <v>100</v>
      </c>
      <c r="O85" s="29" t="n">
        <v>100</v>
      </c>
      <c r="P85" s="78" t="n"/>
      <c r="Q85" s="29">
        <f>SUM(D85:O85)</f>
        <v/>
      </c>
      <c r="R85" s="78" t="n"/>
      <c r="S85" s="78" t="n"/>
      <c r="T85" s="78" t="n"/>
      <c r="U85" s="78" t="n"/>
      <c r="V85" s="78" t="n"/>
      <c r="W85" s="78" t="n"/>
      <c r="X85" s="78" t="n"/>
    </row>
    <row r="86" ht="19.5" customHeight="1" s="150">
      <c r="A86" s="78" t="n"/>
      <c r="B86" s="31" t="inlineStr">
        <is>
          <t>Maintenance and Repairs</t>
        </is>
      </c>
      <c r="C86" s="27" t="n"/>
      <c r="D86" s="29" t="n">
        <v>0</v>
      </c>
      <c r="E86" s="29" t="n">
        <v>50</v>
      </c>
      <c r="F86" s="29" t="n">
        <v>50</v>
      </c>
      <c r="G86" s="29" t="n">
        <v>50</v>
      </c>
      <c r="H86" s="29" t="n">
        <v>50</v>
      </c>
      <c r="I86" s="29" t="n">
        <v>50</v>
      </c>
      <c r="J86" s="29" t="n">
        <v>50</v>
      </c>
      <c r="K86" s="29" t="n">
        <v>50</v>
      </c>
      <c r="L86" s="29" t="n">
        <v>50</v>
      </c>
      <c r="M86" s="29" t="n">
        <v>50</v>
      </c>
      <c r="N86" s="29" t="n">
        <v>50</v>
      </c>
      <c r="O86" s="29" t="n">
        <v>50</v>
      </c>
      <c r="P86" s="78" t="n"/>
      <c r="Q86" s="29">
        <f>SUM(D86:O86)</f>
        <v/>
      </c>
      <c r="R86" s="78" t="n"/>
      <c r="S86" s="78" t="n"/>
      <c r="T86" s="78" t="n"/>
      <c r="U86" s="78" t="n"/>
      <c r="V86" s="78" t="n"/>
      <c r="W86" s="78" t="n"/>
      <c r="X86" s="78" t="n"/>
    </row>
    <row r="87" ht="19.5" customHeight="1" s="150">
      <c r="A87" s="78" t="n"/>
      <c r="B87" s="31" t="inlineStr">
        <is>
          <t>Licensing</t>
        </is>
      </c>
      <c r="C87" s="27" t="n"/>
      <c r="D87" s="29" t="n">
        <v>10</v>
      </c>
      <c r="E87" s="29" t="n">
        <v>0</v>
      </c>
      <c r="F87" s="29" t="n">
        <v>0</v>
      </c>
      <c r="G87" s="29" t="n">
        <v>0</v>
      </c>
      <c r="H87" s="29" t="n">
        <v>0</v>
      </c>
      <c r="I87" s="29" t="n">
        <v>0</v>
      </c>
      <c r="J87" s="29" t="n">
        <v>0</v>
      </c>
      <c r="K87" s="29" t="n">
        <v>0</v>
      </c>
      <c r="L87" s="29" t="n">
        <v>0</v>
      </c>
      <c r="M87" s="29" t="n">
        <v>0</v>
      </c>
      <c r="N87" s="29" t="n">
        <v>0</v>
      </c>
      <c r="O87" s="29" t="n">
        <v>50</v>
      </c>
      <c r="P87" s="78" t="n"/>
      <c r="Q87" s="29">
        <f>SUM(D87:O87)</f>
        <v/>
      </c>
      <c r="R87" s="78" t="n"/>
      <c r="S87" s="78" t="n"/>
      <c r="T87" s="78" t="n"/>
      <c r="U87" s="78" t="n"/>
      <c r="V87" s="78" t="n"/>
      <c r="W87" s="78" t="n"/>
      <c r="X87" s="78" t="n"/>
    </row>
    <row r="88" ht="19.5" customHeight="1" s="150">
      <c r="A88" s="78" t="n"/>
      <c r="B88" s="31" t="inlineStr">
        <is>
          <t>Insurance</t>
        </is>
      </c>
      <c r="C88" s="27" t="n"/>
      <c r="D88" s="29" t="n">
        <v>50</v>
      </c>
      <c r="E88" s="29" t="n">
        <v>80</v>
      </c>
      <c r="F88" s="29" t="n">
        <v>80</v>
      </c>
      <c r="G88" s="29" t="n">
        <v>80</v>
      </c>
      <c r="H88" s="29" t="n">
        <v>80</v>
      </c>
      <c r="I88" s="29" t="n">
        <v>80</v>
      </c>
      <c r="J88" s="29" t="n">
        <v>80</v>
      </c>
      <c r="K88" s="29" t="n">
        <v>80</v>
      </c>
      <c r="L88" s="29" t="n">
        <v>80</v>
      </c>
      <c r="M88" s="29" t="n">
        <v>80</v>
      </c>
      <c r="N88" s="29" t="n">
        <v>80</v>
      </c>
      <c r="O88" s="29" t="n">
        <v>80</v>
      </c>
      <c r="P88" s="78" t="n"/>
      <c r="Q88" s="29">
        <f>SUM(D88:O88)</f>
        <v/>
      </c>
      <c r="R88" s="78" t="n"/>
      <c r="S88" s="78" t="n"/>
      <c r="T88" s="78" t="n"/>
      <c r="U88" s="78" t="n"/>
      <c r="V88" s="78" t="n"/>
      <c r="W88" s="78" t="n"/>
      <c r="X88" s="78" t="n"/>
    </row>
    <row r="89" ht="19.5" customHeight="1" s="150">
      <c r="A89" s="78" t="n"/>
      <c r="B89" s="31" t="inlineStr">
        <is>
          <t>Other</t>
        </is>
      </c>
      <c r="C89" s="27" t="n"/>
      <c r="D89" s="29" t="n"/>
      <c r="E89" s="29" t="n">
        <v>0</v>
      </c>
      <c r="F89" s="29" t="n">
        <v>0</v>
      </c>
      <c r="G89" s="29" t="n">
        <v>0</v>
      </c>
      <c r="H89" s="29" t="n">
        <v>0</v>
      </c>
      <c r="I89" s="29" t="n">
        <v>0</v>
      </c>
      <c r="J89" s="29" t="n">
        <v>0</v>
      </c>
      <c r="K89" s="29" t="n">
        <v>0</v>
      </c>
      <c r="L89" s="29" t="n">
        <v>0</v>
      </c>
      <c r="M89" s="29" t="n">
        <v>0</v>
      </c>
      <c r="N89" s="29" t="n">
        <v>0</v>
      </c>
      <c r="O89" s="29" t="n">
        <v>0</v>
      </c>
      <c r="P89" s="78" t="n"/>
      <c r="Q89" s="29">
        <f>SUM(D89:O89)</f>
        <v/>
      </c>
      <c r="R89" s="78" t="n"/>
      <c r="S89" s="78" t="n"/>
      <c r="T89" s="78" t="n"/>
      <c r="U89" s="78" t="n"/>
      <c r="V89" s="78" t="n"/>
      <c r="W89" s="78" t="n"/>
      <c r="X89" s="78" t="n"/>
    </row>
    <row r="90" ht="19.5" customHeight="1" s="150">
      <c r="A90" s="78" t="n"/>
      <c r="B90" s="16" t="inlineStr">
        <is>
          <t>TOTAL VEHICLE EXPENSE</t>
        </is>
      </c>
      <c r="C90" s="17" t="n"/>
      <c r="D90" s="18">
        <f>SUM(D85:D89)</f>
        <v/>
      </c>
      <c r="E90" s="18">
        <f>SUM(E85:E89)</f>
        <v/>
      </c>
      <c r="F90" s="18">
        <f>SUM(F85:F89)</f>
        <v/>
      </c>
      <c r="G90" s="18">
        <f>SUM(G85:G89)</f>
        <v/>
      </c>
      <c r="H90" s="18">
        <f>SUM(H85:H89)</f>
        <v/>
      </c>
      <c r="I90" s="18">
        <f>SUM(I85:I89)</f>
        <v/>
      </c>
      <c r="J90" s="18">
        <f>SUM(J85:J89)</f>
        <v/>
      </c>
      <c r="K90" s="18">
        <f>SUM(K85:K89)</f>
        <v/>
      </c>
      <c r="L90" s="18">
        <f>SUM(L85:L89)</f>
        <v/>
      </c>
      <c r="M90" s="18">
        <f>SUM(M85:M89)</f>
        <v/>
      </c>
      <c r="N90" s="18">
        <f>SUM(N85:N89)</f>
        <v/>
      </c>
      <c r="O90" s="18">
        <f>SUM(O85:O89)</f>
        <v/>
      </c>
      <c r="P90" s="78" t="n"/>
      <c r="Q90" s="18">
        <f>SUM(Q85:Q89)</f>
        <v/>
      </c>
      <c r="R90" s="78" t="n"/>
      <c r="S90" s="78" t="n"/>
      <c r="T90" s="78" t="n"/>
      <c r="U90" s="78" t="n"/>
      <c r="V90" s="78" t="n"/>
      <c r="W90" s="78" t="n"/>
      <c r="X90" s="78" t="n"/>
    </row>
    <row r="91" ht="19.5" customHeight="1" s="150">
      <c r="A91" s="78" t="n"/>
      <c r="B91" s="44" t="n"/>
      <c r="C91" s="78" t="n"/>
      <c r="D91" s="44" t="n"/>
      <c r="E91" s="44" t="n"/>
      <c r="F91" s="44" t="n"/>
      <c r="G91" s="44" t="n"/>
      <c r="H91" s="44" t="n"/>
      <c r="I91" s="44" t="n"/>
      <c r="J91" s="44" t="n"/>
      <c r="K91" s="44" t="n"/>
      <c r="L91" s="44" t="n"/>
      <c r="M91" s="44" t="n"/>
      <c r="N91" s="44" t="n"/>
      <c r="O91" s="44" t="n"/>
      <c r="P91" s="78" t="n"/>
      <c r="Q91" s="44" t="n"/>
      <c r="R91" s="78" t="n"/>
      <c r="S91" s="78" t="n"/>
      <c r="T91" s="78" t="n"/>
      <c r="U91" s="78" t="n"/>
      <c r="V91" s="78" t="n"/>
      <c r="W91" s="78" t="n"/>
      <c r="X91" s="78" t="n"/>
    </row>
    <row r="92" ht="31.5" customHeight="1" s="150">
      <c r="A92" s="78" t="n"/>
      <c r="B92" s="49" t="inlineStr">
        <is>
          <t>TAXES</t>
        </is>
      </c>
      <c r="C92" s="25" t="inlineStr">
        <is>
          <t>TREND</t>
        </is>
      </c>
      <c r="D92" s="25" t="inlineStr">
        <is>
          <t>JANUARY</t>
        </is>
      </c>
      <c r="E92" s="25" t="inlineStr">
        <is>
          <t>FEBRUARY</t>
        </is>
      </c>
      <c r="F92" s="25" t="inlineStr">
        <is>
          <t>MARCH</t>
        </is>
      </c>
      <c r="G92" s="25" t="inlineStr">
        <is>
          <t>APRIL</t>
        </is>
      </c>
      <c r="H92" s="25" t="inlineStr">
        <is>
          <t>MAY</t>
        </is>
      </c>
      <c r="I92" s="25" t="inlineStr">
        <is>
          <t>JUNE</t>
        </is>
      </c>
      <c r="J92" s="25" t="inlineStr">
        <is>
          <t>JULY</t>
        </is>
      </c>
      <c r="K92" s="25" t="inlineStr">
        <is>
          <t>AUGUST</t>
        </is>
      </c>
      <c r="L92" s="25" t="inlineStr">
        <is>
          <t>SEPTEMBER</t>
        </is>
      </c>
      <c r="M92" s="25" t="inlineStr">
        <is>
          <t>OCTOBER</t>
        </is>
      </c>
      <c r="N92" s="25" t="inlineStr">
        <is>
          <t>NOVEMBER</t>
        </is>
      </c>
      <c r="O92" s="25" t="inlineStr">
        <is>
          <t>DECEMBER</t>
        </is>
      </c>
      <c r="P92" s="78" t="n"/>
      <c r="Q92" s="25" t="inlineStr">
        <is>
          <t>YTD</t>
        </is>
      </c>
      <c r="R92" s="78" t="n"/>
      <c r="S92" s="78" t="n"/>
      <c r="T92" s="78" t="n"/>
      <c r="U92" s="78" t="n"/>
      <c r="V92" s="78" t="n"/>
      <c r="W92" s="78" t="n"/>
      <c r="X92" s="78" t="n"/>
    </row>
    <row r="93" ht="19.5" customHeight="1" s="150">
      <c r="A93" s="36" t="n">
        <v>0.24</v>
      </c>
      <c r="B93" s="31" t="inlineStr">
        <is>
          <t>Income Tax</t>
        </is>
      </c>
      <c r="C93" s="27" t="n"/>
      <c r="D93" s="29">
        <f>1143+745+1143</f>
        <v/>
      </c>
      <c r="E93" s="29">
        <f>sum(E14,E15)*$A$93</f>
        <v/>
      </c>
      <c r="F93" s="29">
        <f>sum(F14,F15)*$A$93</f>
        <v/>
      </c>
      <c r="G93" s="29">
        <f>sum(G14,G15)*$A$93</f>
        <v/>
      </c>
      <c r="H93" s="29">
        <f>sum(H14,H15)*$A$93</f>
        <v/>
      </c>
      <c r="I93" s="29">
        <f>sum(I14,I15)*$A$93</f>
        <v/>
      </c>
      <c r="J93" s="29">
        <f>sum(J14,J15)*$A$93</f>
        <v/>
      </c>
      <c r="K93" s="29">
        <f>sum(K14,K15)*$A$93</f>
        <v/>
      </c>
      <c r="L93" s="29">
        <f>sum(L14,L15)*$A$93</f>
        <v/>
      </c>
      <c r="M93" s="29">
        <f>sum(M14,M15)*$A$93</f>
        <v/>
      </c>
      <c r="N93" s="29">
        <f>sum(N14,N15)*$A$93</f>
        <v/>
      </c>
      <c r="O93" s="29">
        <f>sum(O14,O15)*$A$93</f>
        <v/>
      </c>
      <c r="P93" s="78" t="n"/>
      <c r="Q93" s="29">
        <f>SUM(D93:O93)</f>
        <v/>
      </c>
      <c r="R93" s="78" t="n"/>
      <c r="S93" s="78" t="n"/>
      <c r="T93" s="78" t="n"/>
      <c r="U93" s="78" t="n"/>
      <c r="V93" s="78" t="n"/>
      <c r="W93" s="78" t="n"/>
      <c r="X93" s="78" t="n"/>
    </row>
    <row r="94" ht="19.5" customHeight="1" s="150">
      <c r="A94" s="78" t="n"/>
      <c r="B94" s="31" t="inlineStr">
        <is>
          <t>Other</t>
        </is>
      </c>
      <c r="C94" s="27" t="n"/>
      <c r="D94" s="29" t="n">
        <v>0</v>
      </c>
      <c r="E94" s="29" t="n">
        <v>0</v>
      </c>
      <c r="F94" s="29" t="n">
        <v>0</v>
      </c>
      <c r="G94" s="29" t="n">
        <v>0</v>
      </c>
      <c r="H94" s="29" t="n">
        <v>0</v>
      </c>
      <c r="I94" s="29" t="n">
        <v>0</v>
      </c>
      <c r="J94" s="29" t="n">
        <v>0</v>
      </c>
      <c r="K94" s="29" t="n">
        <v>0</v>
      </c>
      <c r="L94" s="29" t="n">
        <v>0</v>
      </c>
      <c r="M94" s="29" t="n">
        <v>0</v>
      </c>
      <c r="N94" s="29" t="n">
        <v>0</v>
      </c>
      <c r="O94" s="29" t="n">
        <v>0</v>
      </c>
      <c r="P94" s="78" t="n"/>
      <c r="Q94" s="29">
        <f>SUM(D94:O94)</f>
        <v/>
      </c>
      <c r="R94" s="78" t="n"/>
      <c r="S94" s="78" t="n"/>
      <c r="T94" s="78" t="n"/>
      <c r="U94" s="78" t="n"/>
      <c r="V94" s="78" t="n"/>
      <c r="W94" s="78" t="n"/>
      <c r="X94" s="78" t="n"/>
    </row>
    <row r="95" ht="19.5" customHeight="1" s="150">
      <c r="A95" s="78" t="n"/>
      <c r="B95" s="16" t="inlineStr">
        <is>
          <t>TOTAL TAXES</t>
        </is>
      </c>
      <c r="C95" s="17" t="n"/>
      <c r="D95" s="18">
        <f>SUM(D93:D94)</f>
        <v/>
      </c>
      <c r="E95" s="18">
        <f>SUM(E93:E94)</f>
        <v/>
      </c>
      <c r="F95" s="18">
        <f>SUM(F93:F94)</f>
        <v/>
      </c>
      <c r="G95" s="18">
        <f>SUM(G93:G94)</f>
        <v/>
      </c>
      <c r="H95" s="18">
        <f>SUM(H93:H94)</f>
        <v/>
      </c>
      <c r="I95" s="18">
        <f>SUM(I93:I94)</f>
        <v/>
      </c>
      <c r="J95" s="18">
        <f>SUM(J93:J94)</f>
        <v/>
      </c>
      <c r="K95" s="18">
        <f>SUM(K93:K94)</f>
        <v/>
      </c>
      <c r="L95" s="18">
        <f>SUM(L93:L94)</f>
        <v/>
      </c>
      <c r="M95" s="18">
        <f>SUM(M93:M94)</f>
        <v/>
      </c>
      <c r="N95" s="18">
        <f>SUM(N93:N94)</f>
        <v/>
      </c>
      <c r="O95" s="18">
        <f>SUM(O93:O94)</f>
        <v/>
      </c>
      <c r="P95" s="78" t="n"/>
      <c r="Q95" s="18">
        <f>SUM(Q93:Q94)</f>
        <v/>
      </c>
      <c r="R95" s="78" t="n"/>
      <c r="S95" s="78" t="n"/>
      <c r="T95" s="78" t="n"/>
      <c r="U95" s="78" t="n"/>
      <c r="V95" s="78" t="n"/>
      <c r="W95" s="78" t="n"/>
      <c r="X95" s="78" t="n"/>
    </row>
    <row r="96" ht="19.5" customHeight="1" s="150">
      <c r="A96" s="78" t="n"/>
      <c r="B96" s="44" t="n"/>
      <c r="C96" s="78" t="n"/>
      <c r="D96" s="44" t="n"/>
      <c r="E96" s="44" t="n"/>
      <c r="F96" s="44" t="n"/>
      <c r="G96" s="44" t="n"/>
      <c r="H96" s="44" t="n"/>
      <c r="I96" s="44" t="n"/>
      <c r="J96" s="44" t="n"/>
      <c r="K96" s="44" t="n"/>
      <c r="L96" s="44" t="n"/>
      <c r="M96" s="44" t="n"/>
      <c r="N96" s="44" t="n"/>
      <c r="O96" s="44" t="n"/>
      <c r="P96" s="78" t="n"/>
      <c r="Q96" s="44" t="n"/>
      <c r="R96" s="78" t="n"/>
      <c r="S96" s="78" t="n"/>
      <c r="T96" s="78" t="n"/>
      <c r="U96" s="78" t="n"/>
      <c r="V96" s="78" t="n"/>
      <c r="W96" s="78" t="n"/>
      <c r="X96" s="78" t="n"/>
    </row>
    <row r="97" ht="19.5" customHeight="1" s="150">
      <c r="A97" s="78" t="n"/>
      <c r="B97" s="16" t="inlineStr">
        <is>
          <t>TOTAL EXPENSES</t>
        </is>
      </c>
      <c r="C97" s="17" t="n"/>
      <c r="D97" s="18">
        <f>SUM(D52,D60,D68,D82,D90,D95)</f>
        <v/>
      </c>
      <c r="E97" s="18">
        <f>SUM(E52,E60,E68,E82,E90,E95)</f>
        <v/>
      </c>
      <c r="F97" s="18">
        <f>SUM(F52,F60,F68,F82,F90,F95)</f>
        <v/>
      </c>
      <c r="G97" s="18">
        <f>SUM(G52,G60,G68,G82,G90,G95)</f>
        <v/>
      </c>
      <c r="H97" s="18">
        <f>SUM(H52,H60,H68,H82,H90,H95)</f>
        <v/>
      </c>
      <c r="I97" s="18">
        <f>SUM(I52,I60,I68,I82,I90,I95)</f>
        <v/>
      </c>
      <c r="J97" s="18">
        <f>SUM(J52,J60,J68,J82,J90,J95)</f>
        <v/>
      </c>
      <c r="K97" s="18">
        <f>SUM(K52,K60,K68,K82,K90,K95)</f>
        <v/>
      </c>
      <c r="L97" s="18">
        <f>SUM(L52,L60,L68,L82,L90,L95)</f>
        <v/>
      </c>
      <c r="M97" s="18">
        <f>SUM(M52,M60,M68,M82,M90,M95)</f>
        <v/>
      </c>
      <c r="N97" s="18">
        <f>SUM(N52,N60,N68,N82,N90,N95)</f>
        <v/>
      </c>
      <c r="O97" s="18">
        <f>SUM(O52,O60,O68,O82,O90,O95)</f>
        <v/>
      </c>
      <c r="P97" s="78" t="n"/>
      <c r="Q97" s="18">
        <f>SUM(Q52,Q60,Q68,Q82,Q90,Q95)</f>
        <v/>
      </c>
      <c r="R97" s="78" t="n"/>
      <c r="S97" s="78" t="n"/>
      <c r="T97" s="78" t="n"/>
      <c r="U97" s="78" t="n"/>
      <c r="V97" s="78" t="n"/>
      <c r="W97" s="78" t="n"/>
      <c r="X97" s="78" t="n"/>
    </row>
    <row r="98" ht="19.5" customHeight="1" s="150">
      <c r="A98" s="78" t="n"/>
      <c r="B98" s="50" t="n"/>
      <c r="C98" s="78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78" t="n"/>
      <c r="Q98" s="42" t="n"/>
      <c r="R98" s="78" t="n"/>
      <c r="S98" s="78" t="n"/>
      <c r="T98" s="78" t="n"/>
      <c r="U98" s="78" t="n"/>
      <c r="V98" s="78" t="n"/>
      <c r="W98" s="78" t="n"/>
      <c r="X98" s="78" t="n"/>
    </row>
    <row r="99" ht="49.5" customHeight="1" s="150">
      <c r="A99" s="43" t="n"/>
      <c r="B99" s="155" t="inlineStr">
        <is>
          <t>TOTALS</t>
        </is>
      </c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</row>
    <row r="100" ht="15" customHeight="1" s="150">
      <c r="A100" s="78" t="n"/>
      <c r="B100" s="78" t="n"/>
      <c r="C100" s="78" t="n"/>
      <c r="D100" s="78" t="n"/>
      <c r="E100" s="78" t="n"/>
      <c r="F100" s="78" t="n"/>
      <c r="G100" s="78" t="n"/>
      <c r="H100" s="78" t="n"/>
      <c r="I100" s="78" t="n"/>
      <c r="J100" s="78" t="n"/>
      <c r="K100" s="78" t="n"/>
      <c r="L100" s="78" t="n"/>
      <c r="M100" s="78" t="n"/>
      <c r="N100" s="78" t="n"/>
      <c r="O100" s="78" t="n"/>
      <c r="P100" s="78" t="n"/>
      <c r="Q100" s="78" t="n"/>
      <c r="R100" s="78" t="n"/>
      <c r="S100" s="78" t="n"/>
      <c r="T100" s="78" t="n"/>
      <c r="U100" s="78" t="n"/>
      <c r="V100" s="78" t="n"/>
      <c r="W100" s="78" t="n"/>
      <c r="X100" s="78" t="n"/>
    </row>
    <row r="101" ht="15" customHeight="1" s="150">
      <c r="A101" s="78" t="n"/>
      <c r="B101" s="78" t="n"/>
      <c r="C101" s="78" t="n"/>
      <c r="D101" s="78" t="n"/>
      <c r="E101" s="78" t="n"/>
      <c r="F101" s="78" t="n"/>
      <c r="G101" s="78" t="n"/>
      <c r="H101" s="78" t="n"/>
      <c r="I101" s="78" t="n"/>
      <c r="J101" s="78" t="n"/>
      <c r="K101" s="78" t="n"/>
      <c r="L101" s="78" t="n"/>
      <c r="M101" s="78" t="n"/>
      <c r="N101" s="78" t="n"/>
      <c r="O101" s="78" t="n"/>
      <c r="P101" s="78" t="n"/>
      <c r="Q101" s="78" t="n"/>
      <c r="R101" s="78" t="n"/>
      <c r="S101" s="78" t="n"/>
      <c r="T101" s="78" t="n"/>
      <c r="U101" s="78" t="n"/>
      <c r="V101" s="78" t="n"/>
      <c r="W101" s="78" t="n"/>
      <c r="X101" s="78" t="n"/>
    </row>
    <row r="102" ht="15" customHeight="1" s="150">
      <c r="A102" s="78" t="n"/>
      <c r="B102" s="78" t="n"/>
      <c r="C102" s="78" t="n"/>
      <c r="D102" s="78" t="n"/>
      <c r="E102" s="78" t="n"/>
      <c r="F102" s="78" t="n"/>
      <c r="G102" s="78" t="n"/>
      <c r="H102" s="78" t="n"/>
      <c r="I102" s="78" t="n"/>
      <c r="J102" s="78" t="n"/>
      <c r="K102" s="78" t="n"/>
      <c r="L102" s="78" t="n"/>
      <c r="M102" s="78" t="n"/>
      <c r="N102" s="78" t="n"/>
      <c r="O102" s="78" t="n"/>
      <c r="P102" s="78" t="n"/>
      <c r="Q102" s="78" t="n"/>
      <c r="R102" s="78" t="n"/>
      <c r="S102" s="78" t="n"/>
      <c r="T102" s="78" t="n"/>
      <c r="U102" s="78" t="n"/>
      <c r="V102" s="78" t="n"/>
      <c r="W102" s="78" t="n"/>
      <c r="X102" s="78" t="n"/>
    </row>
    <row r="103" ht="30" customHeight="1" s="150">
      <c r="A103" s="54" t="n"/>
      <c r="B103" s="55" t="inlineStr">
        <is>
          <t>DEBT</t>
        </is>
      </c>
      <c r="C103" s="57" t="inlineStr">
        <is>
          <t>CURRENT</t>
        </is>
      </c>
      <c r="D103" s="57" t="inlineStr">
        <is>
          <t>JANUARY</t>
        </is>
      </c>
      <c r="E103" s="57" t="inlineStr">
        <is>
          <t>FEBRUARY</t>
        </is>
      </c>
      <c r="F103" s="57" t="inlineStr">
        <is>
          <t>MARCH</t>
        </is>
      </c>
      <c r="G103" s="57" t="inlineStr">
        <is>
          <t>APRIL</t>
        </is>
      </c>
      <c r="H103" s="57" t="inlineStr">
        <is>
          <t>MAY</t>
        </is>
      </c>
      <c r="I103" s="57" t="inlineStr">
        <is>
          <t>JUNE</t>
        </is>
      </c>
      <c r="J103" s="57" t="inlineStr">
        <is>
          <t>JULY</t>
        </is>
      </c>
      <c r="K103" s="57" t="inlineStr">
        <is>
          <t>AUGUST</t>
        </is>
      </c>
      <c r="L103" s="57" t="inlineStr">
        <is>
          <t>SEPTEMBER</t>
        </is>
      </c>
      <c r="M103" s="57" t="inlineStr">
        <is>
          <t>OCTOBER</t>
        </is>
      </c>
      <c r="N103" s="57" t="inlineStr">
        <is>
          <t>NOVEMBER</t>
        </is>
      </c>
      <c r="O103" s="57" t="inlineStr">
        <is>
          <t>DECEMBER</t>
        </is>
      </c>
      <c r="P103" s="58" t="n"/>
      <c r="Q103" s="59" t="inlineStr">
        <is>
          <t>YTD PAID</t>
        </is>
      </c>
      <c r="R103" s="54" t="n"/>
      <c r="S103" s="54" t="n"/>
      <c r="T103" s="54" t="n"/>
      <c r="U103" s="54" t="n"/>
      <c r="V103" s="54" t="n"/>
      <c r="W103" s="54" t="n"/>
      <c r="X103" s="54" t="n"/>
      <c r="Y103" s="139" t="n"/>
      <c r="Z103" s="139" t="n"/>
    </row>
    <row r="104" ht="19.5" customHeight="1" s="150">
      <c r="A104" s="78" t="n"/>
      <c r="B104" s="61" t="inlineStr">
        <is>
          <t>IRS (Payment Plan) (Submitted Form 843 -$6700 / Next Interest)</t>
        </is>
      </c>
      <c r="C104" s="62" t="n">
        <v>57000</v>
      </c>
      <c r="D104" s="82">
        <f>C104-D63-D67</f>
        <v/>
      </c>
      <c r="E104" s="82">
        <f>D104-E63</f>
        <v/>
      </c>
      <c r="F104" s="82">
        <f>E104-F63</f>
        <v/>
      </c>
      <c r="G104" s="82">
        <f>F104-G63</f>
        <v/>
      </c>
      <c r="H104" s="82">
        <f>G104-H63</f>
        <v/>
      </c>
      <c r="I104" s="82">
        <f>H104-I63</f>
        <v/>
      </c>
      <c r="J104" s="82">
        <f>I104-J63</f>
        <v/>
      </c>
      <c r="K104" s="82">
        <f>J104-K63</f>
        <v/>
      </c>
      <c r="L104" s="82">
        <f>K104-L63</f>
        <v/>
      </c>
      <c r="M104" s="82">
        <f>L104-M63</f>
        <v/>
      </c>
      <c r="N104" s="82">
        <f>M104-N63</f>
        <v/>
      </c>
      <c r="O104" s="82">
        <f>N104-O63</f>
        <v/>
      </c>
      <c r="P104" s="64" t="n"/>
      <c r="Q104" s="84">
        <f>Q63</f>
        <v/>
      </c>
      <c r="R104" s="66" t="n"/>
      <c r="S104" s="78" t="n"/>
      <c r="T104" s="78" t="n"/>
      <c r="U104" s="78" t="n"/>
      <c r="V104" s="78" t="n"/>
      <c r="W104" s="78" t="n"/>
      <c r="X104" s="78" t="n"/>
    </row>
    <row r="105" ht="19.5" customHeight="1" s="150">
      <c r="A105" s="78" t="n"/>
      <c r="B105" s="31" t="inlineStr">
        <is>
          <t>Loans (Collections) (Payment on 30th Each Month)</t>
        </is>
      </c>
      <c r="C105" s="62" t="n">
        <v>8500</v>
      </c>
      <c r="D105" s="82">
        <f>C105-D65</f>
        <v/>
      </c>
      <c r="E105" s="82">
        <f>D105-E65</f>
        <v/>
      </c>
      <c r="F105" s="82">
        <f>E105-F65</f>
        <v/>
      </c>
      <c r="G105" s="82">
        <f>F105-G65</f>
        <v/>
      </c>
      <c r="H105" s="82">
        <f>G105-H65</f>
        <v/>
      </c>
      <c r="I105" s="82">
        <f>H105-I65</f>
        <v/>
      </c>
      <c r="J105" s="82">
        <f>I105-J65</f>
        <v/>
      </c>
      <c r="K105" s="82">
        <f>J105-K65</f>
        <v/>
      </c>
      <c r="L105" s="82">
        <f>K105-L65</f>
        <v/>
      </c>
      <c r="M105" s="82">
        <f>L105-M65</f>
        <v/>
      </c>
      <c r="N105" s="82">
        <f>M105-N65</f>
        <v/>
      </c>
      <c r="O105" s="82">
        <f>N105-O65</f>
        <v/>
      </c>
      <c r="P105" s="64" t="n"/>
      <c r="Q105" s="84">
        <f>Q64</f>
        <v/>
      </c>
      <c r="R105" s="66" t="n"/>
      <c r="S105" s="78" t="n"/>
      <c r="T105" s="78" t="n"/>
      <c r="U105" s="78" t="n"/>
      <c r="V105" s="78" t="n"/>
      <c r="W105" s="78" t="n"/>
      <c r="X105" s="78" t="n"/>
    </row>
    <row r="106" ht="19.5" customHeight="1" s="150">
      <c r="A106" s="78" t="n"/>
      <c r="B106" s="31" t="inlineStr">
        <is>
          <t>Orion 59 (Collections) (Payment on 30th Each Month)</t>
        </is>
      </c>
      <c r="C106" s="62" t="n">
        <v>2200</v>
      </c>
      <c r="D106" s="82">
        <f>C106-D66</f>
        <v/>
      </c>
      <c r="E106" s="82">
        <f>D106-E66</f>
        <v/>
      </c>
      <c r="F106" s="82">
        <f>E106-F66</f>
        <v/>
      </c>
      <c r="G106" s="82">
        <f>F106-G66</f>
        <v/>
      </c>
      <c r="H106" s="82">
        <f>G106-H66</f>
        <v/>
      </c>
      <c r="I106" s="82">
        <f>H106-I66</f>
        <v/>
      </c>
      <c r="J106" s="82">
        <f>I106-J66</f>
        <v/>
      </c>
      <c r="K106" s="82">
        <f>J106-K66</f>
        <v/>
      </c>
      <c r="L106" s="82">
        <f>K106-L66</f>
        <v/>
      </c>
      <c r="M106" s="82">
        <f>L106-M66</f>
        <v/>
      </c>
      <c r="N106" s="82">
        <f>M106-N66</f>
        <v/>
      </c>
      <c r="O106" s="82">
        <f>N106-O66</f>
        <v/>
      </c>
      <c r="P106" s="64" t="n"/>
      <c r="Q106" s="84">
        <f>Q66</f>
        <v/>
      </c>
      <c r="R106" s="66" t="n"/>
      <c r="S106" s="78" t="n"/>
      <c r="T106" s="78" t="n"/>
      <c r="U106" s="78" t="n"/>
      <c r="V106" s="78" t="n"/>
      <c r="W106" s="78" t="n"/>
      <c r="X106" s="78" t="n"/>
    </row>
    <row r="107" ht="19.5" customHeight="1" s="150">
      <c r="A107" s="78" t="n"/>
      <c r="B107" s="76" t="n"/>
      <c r="C107" s="68" t="n"/>
      <c r="D107" s="69" t="n"/>
      <c r="E107" s="69" t="n"/>
      <c r="F107" s="69" t="n"/>
      <c r="G107" s="69" t="n"/>
      <c r="H107" s="69" t="n"/>
      <c r="I107" s="69" t="n"/>
      <c r="J107" s="69" t="n"/>
      <c r="K107" s="69" t="n"/>
      <c r="L107" s="69" t="n"/>
      <c r="M107" s="69" t="n"/>
      <c r="N107" s="69" t="n"/>
      <c r="O107" s="69" t="n"/>
      <c r="P107" s="70" t="n"/>
      <c r="Q107" s="71" t="n"/>
      <c r="R107" s="78" t="n"/>
      <c r="S107" s="78" t="n"/>
      <c r="T107" s="78" t="n"/>
      <c r="U107" s="78" t="n"/>
      <c r="V107" s="78" t="n"/>
      <c r="W107" s="78" t="n"/>
      <c r="X107" s="78" t="n"/>
    </row>
    <row r="108" ht="19.5" customHeight="1" s="150">
      <c r="A108" s="78" t="n"/>
      <c r="B108" s="72" t="inlineStr">
        <is>
          <t>TOTAL DEBT</t>
        </is>
      </c>
      <c r="C108" s="73">
        <f>sum(C104:C106)</f>
        <v/>
      </c>
      <c r="D108" s="73">
        <f>sum(D104:D106)</f>
        <v/>
      </c>
      <c r="E108" s="73">
        <f>sum(E104:E106)</f>
        <v/>
      </c>
      <c r="F108" s="73">
        <f>sum(F104:F106)</f>
        <v/>
      </c>
      <c r="G108" s="73">
        <f>sum(G104:G106)</f>
        <v/>
      </c>
      <c r="H108" s="73">
        <f>sum(H104:H106)</f>
        <v/>
      </c>
      <c r="I108" s="73">
        <f>sum(I104:I106)</f>
        <v/>
      </c>
      <c r="J108" s="73">
        <f>sum(J104:J106)</f>
        <v/>
      </c>
      <c r="K108" s="73">
        <f>sum(K104:K106)</f>
        <v/>
      </c>
      <c r="L108" s="73">
        <f>sum(L104:L106)</f>
        <v/>
      </c>
      <c r="M108" s="73">
        <f>sum(M104:M106)</f>
        <v/>
      </c>
      <c r="N108" s="73">
        <f>sum(N104:N106)</f>
        <v/>
      </c>
      <c r="O108" s="73">
        <f>sum(O104:O106)</f>
        <v/>
      </c>
      <c r="P108" s="74" t="n"/>
      <c r="Q108" s="75">
        <f>SUM(Q104:Q106)</f>
        <v/>
      </c>
      <c r="R108" s="66" t="n"/>
      <c r="S108" s="78" t="n"/>
      <c r="T108" s="78" t="n"/>
      <c r="U108" s="78" t="n"/>
      <c r="V108" s="78" t="n"/>
      <c r="W108" s="78" t="n"/>
      <c r="X108" s="78" t="n"/>
    </row>
    <row r="109" ht="19.5" customHeight="1" s="150">
      <c r="A109" s="78" t="n"/>
      <c r="B109" s="76" t="n"/>
      <c r="C109" s="68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 t="n"/>
      <c r="M109" s="76" t="n"/>
      <c r="N109" s="76" t="n"/>
      <c r="O109" s="76" t="n"/>
      <c r="P109" s="77" t="n"/>
      <c r="Q109" s="71" t="n"/>
      <c r="R109" s="78" t="n"/>
      <c r="S109" s="78" t="n"/>
      <c r="T109" s="78" t="n"/>
      <c r="U109" s="78" t="n"/>
      <c r="V109" s="78" t="n"/>
      <c r="W109" s="78" t="n"/>
      <c r="X109" s="78" t="n"/>
    </row>
    <row r="110" ht="19.5" customHeight="1" s="150">
      <c r="A110" s="78" t="n">
        <v>6700</v>
      </c>
      <c r="B110" s="79" t="inlineStr">
        <is>
          <t>FORM 843 (-$6700)</t>
        </is>
      </c>
      <c r="C110" s="73">
        <f>C108-$A$110</f>
        <v/>
      </c>
      <c r="D110" s="73">
        <f>D108-$A$110</f>
        <v/>
      </c>
      <c r="E110" s="73">
        <f>E108-$A$110</f>
        <v/>
      </c>
      <c r="F110" s="73">
        <f>F108-$A$110</f>
        <v/>
      </c>
      <c r="G110" s="73">
        <f>G108-$A$110</f>
        <v/>
      </c>
      <c r="H110" s="73">
        <f>H108-$A$110</f>
        <v/>
      </c>
      <c r="I110" s="73">
        <f>I108-$A$110</f>
        <v/>
      </c>
      <c r="J110" s="73">
        <f>J108-$A$110</f>
        <v/>
      </c>
      <c r="K110" s="73">
        <f>K108-$A$110</f>
        <v/>
      </c>
      <c r="L110" s="73">
        <f>L108-$A$110</f>
        <v/>
      </c>
      <c r="M110" s="73">
        <f>M108-$A$110</f>
        <v/>
      </c>
      <c r="N110" s="73">
        <f>N108-$A$110</f>
        <v/>
      </c>
      <c r="O110" s="73">
        <f>O108-$A$110</f>
        <v/>
      </c>
      <c r="P110" s="74" t="n"/>
      <c r="Q110" s="75">
        <f>SUM(Q104:Q106)</f>
        <v/>
      </c>
      <c r="R110" s="66" t="n"/>
      <c r="S110" s="78" t="n"/>
      <c r="T110" s="78" t="n"/>
      <c r="U110" s="78" t="n"/>
      <c r="V110" s="78" t="n"/>
      <c r="W110" s="78" t="n"/>
      <c r="X110" s="78" t="n"/>
    </row>
    <row r="111" ht="19.5" customHeight="1" s="150">
      <c r="A111" s="78" t="n"/>
      <c r="B111" s="78" t="n"/>
      <c r="C111" s="80" t="n"/>
      <c r="D111" s="80" t="n"/>
      <c r="E111" s="80" t="n"/>
      <c r="F111" s="80" t="n"/>
      <c r="G111" s="80" t="n"/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1" t="n"/>
      <c r="R111" s="78" t="n"/>
      <c r="S111" s="78" t="n"/>
      <c r="T111" s="78" t="n"/>
      <c r="U111" s="78" t="n"/>
      <c r="V111" s="78" t="n"/>
      <c r="W111" s="78" t="n"/>
      <c r="X111" s="78" t="n"/>
    </row>
    <row r="112" ht="30" customHeight="1" s="150">
      <c r="A112" s="54" t="n"/>
      <c r="B112" s="55" t="inlineStr">
        <is>
          <t>ASSETS</t>
        </is>
      </c>
      <c r="C112" s="57" t="inlineStr">
        <is>
          <t>CURRENT</t>
        </is>
      </c>
      <c r="D112" s="57" t="inlineStr">
        <is>
          <t>JANUARY</t>
        </is>
      </c>
      <c r="E112" s="57" t="inlineStr">
        <is>
          <t>FEBRUARY</t>
        </is>
      </c>
      <c r="F112" s="57" t="inlineStr">
        <is>
          <t>MARCH</t>
        </is>
      </c>
      <c r="G112" s="57" t="inlineStr">
        <is>
          <t>APRIL</t>
        </is>
      </c>
      <c r="H112" s="57" t="inlineStr">
        <is>
          <t>MAY</t>
        </is>
      </c>
      <c r="I112" s="57" t="inlineStr">
        <is>
          <t>JUNE</t>
        </is>
      </c>
      <c r="J112" s="57" t="inlineStr">
        <is>
          <t>JULY</t>
        </is>
      </c>
      <c r="K112" s="57" t="inlineStr">
        <is>
          <t>AUGUST</t>
        </is>
      </c>
      <c r="L112" s="57" t="inlineStr">
        <is>
          <t>SEPTEMBER</t>
        </is>
      </c>
      <c r="M112" s="57" t="inlineStr">
        <is>
          <t>OCTOBER</t>
        </is>
      </c>
      <c r="N112" s="57" t="inlineStr">
        <is>
          <t>NOVEMBER</t>
        </is>
      </c>
      <c r="O112" s="57" t="inlineStr">
        <is>
          <t>DECEMBER</t>
        </is>
      </c>
      <c r="P112" s="58" t="n"/>
      <c r="Q112" s="59" t="inlineStr">
        <is>
          <t>YTD GAIN</t>
        </is>
      </c>
      <c r="R112" s="54" t="n"/>
      <c r="S112" s="54" t="n"/>
      <c r="T112" s="54" t="n"/>
      <c r="U112" s="54" t="n"/>
      <c r="V112" s="54" t="n"/>
      <c r="W112" s="54" t="n"/>
      <c r="X112" s="54" t="n"/>
      <c r="Y112" s="139" t="n"/>
      <c r="Z112" s="139" t="n"/>
    </row>
    <row r="113" ht="19.5" customHeight="1" s="150">
      <c r="A113" s="78" t="n"/>
      <c r="B113" s="61" t="inlineStr">
        <is>
          <t>Trading Cards (Selling Basic Replaceable Cards To Mark)</t>
        </is>
      </c>
      <c r="C113" s="62" t="n">
        <v>15000</v>
      </c>
      <c r="D113" s="82" t="n">
        <v>15000</v>
      </c>
      <c r="E113" s="82" t="n">
        <v>15000</v>
      </c>
      <c r="F113" s="82" t="n">
        <v>15000</v>
      </c>
      <c r="G113" s="82" t="n">
        <v>15000</v>
      </c>
      <c r="H113" s="82" t="n">
        <v>15000</v>
      </c>
      <c r="I113" s="82" t="n">
        <v>15000</v>
      </c>
      <c r="J113" s="82" t="n">
        <v>15000</v>
      </c>
      <c r="K113" s="82" t="n">
        <v>15000</v>
      </c>
      <c r="L113" s="82" t="n">
        <v>15000</v>
      </c>
      <c r="M113" s="82" t="n">
        <v>15000</v>
      </c>
      <c r="N113" s="82" t="n">
        <v>15000</v>
      </c>
      <c r="O113" s="82" t="n">
        <v>15000</v>
      </c>
      <c r="P113" s="83" t="n"/>
      <c r="Q113" s="84">
        <f>O113-C113</f>
        <v/>
      </c>
      <c r="R113" s="66" t="n"/>
      <c r="S113" s="78" t="n"/>
      <c r="T113" s="78" t="n"/>
      <c r="U113" s="78" t="n"/>
      <c r="V113" s="78" t="n"/>
      <c r="W113" s="78" t="n"/>
      <c r="X113" s="78" t="n"/>
    </row>
    <row r="114" ht="19.5" customHeight="1" s="150">
      <c r="A114" s="78" t="n"/>
      <c r="B114" s="61" t="inlineStr">
        <is>
          <t>Vinyls (Selling Some at Dealer Show)</t>
        </is>
      </c>
      <c r="C114" s="62" t="n">
        <v>15000</v>
      </c>
      <c r="D114" s="82" t="n">
        <v>15000</v>
      </c>
      <c r="E114" s="82" t="n">
        <v>15000</v>
      </c>
      <c r="F114" s="82" t="n">
        <v>15000</v>
      </c>
      <c r="G114" s="82" t="n">
        <v>15000</v>
      </c>
      <c r="H114" s="82" t="n">
        <v>15000</v>
      </c>
      <c r="I114" s="82" t="n">
        <v>15000</v>
      </c>
      <c r="J114" s="82" t="n">
        <v>15000</v>
      </c>
      <c r="K114" s="82" t="n">
        <v>15000</v>
      </c>
      <c r="L114" s="82" t="n">
        <v>15000</v>
      </c>
      <c r="M114" s="82" t="n">
        <v>15000</v>
      </c>
      <c r="N114" s="82" t="n">
        <v>15000</v>
      </c>
      <c r="O114" s="82" t="n">
        <v>15000</v>
      </c>
      <c r="P114" s="83" t="n"/>
      <c r="Q114" s="84">
        <f>O114-C114</f>
        <v/>
      </c>
      <c r="R114" s="66" t="n"/>
      <c r="S114" s="78" t="n"/>
      <c r="T114" s="78" t="n"/>
      <c r="U114" s="78" t="n"/>
      <c r="V114" s="78" t="n"/>
      <c r="W114" s="78" t="n"/>
      <c r="X114" s="78" t="n"/>
    </row>
    <row r="115" ht="19.5" customHeight="1" s="150">
      <c r="A115" s="78" t="n"/>
      <c r="B115" s="85" t="inlineStr">
        <is>
          <t>Gold/Silver (Liquidating)</t>
        </is>
      </c>
      <c r="C115" s="62" t="n">
        <v>6000</v>
      </c>
      <c r="D115" s="86" t="n">
        <v>7000</v>
      </c>
      <c r="E115" s="86" t="n">
        <v>7000</v>
      </c>
      <c r="F115" s="86" t="n">
        <v>7000</v>
      </c>
      <c r="G115" s="86" t="n">
        <v>7000</v>
      </c>
      <c r="H115" s="86" t="n">
        <v>7000</v>
      </c>
      <c r="I115" s="86" t="n">
        <v>7000</v>
      </c>
      <c r="J115" s="86" t="n">
        <v>7000</v>
      </c>
      <c r="K115" s="86" t="n">
        <v>7000</v>
      </c>
      <c r="L115" s="86" t="n">
        <v>7000</v>
      </c>
      <c r="M115" s="86" t="n">
        <v>7000</v>
      </c>
      <c r="N115" s="86" t="n">
        <v>7000</v>
      </c>
      <c r="O115" s="86" t="n">
        <v>7000</v>
      </c>
      <c r="P115" s="83" t="n"/>
      <c r="Q115" s="84">
        <f>O115-C115</f>
        <v/>
      </c>
      <c r="R115" s="66" t="n"/>
      <c r="S115" s="78" t="n"/>
      <c r="T115" s="78" t="n"/>
      <c r="U115" s="78" t="n"/>
      <c r="V115" s="78" t="n"/>
      <c r="W115" s="78" t="n"/>
      <c r="X115" s="78" t="n"/>
    </row>
    <row r="116" ht="19.5" customHeight="1" s="150">
      <c r="A116" s="78" t="n"/>
      <c r="B116" s="85" t="inlineStr">
        <is>
          <t>Cash</t>
        </is>
      </c>
      <c r="C116" s="62" t="n">
        <v>1600</v>
      </c>
      <c r="D116" s="82">
        <f>C116+D11</f>
        <v/>
      </c>
      <c r="E116" s="82">
        <f>D116+E11</f>
        <v/>
      </c>
      <c r="F116" s="82">
        <f>E116+F11</f>
        <v/>
      </c>
      <c r="G116" s="82">
        <f>F116+G11</f>
        <v/>
      </c>
      <c r="H116" s="82">
        <f>G116+H11</f>
        <v/>
      </c>
      <c r="I116" s="82">
        <f>H116+I11</f>
        <v/>
      </c>
      <c r="J116" s="82">
        <f>I116+J11</f>
        <v/>
      </c>
      <c r="K116" s="82">
        <f>J116+K11</f>
        <v/>
      </c>
      <c r="L116" s="82">
        <f>K116+L11</f>
        <v/>
      </c>
      <c r="M116" s="82">
        <f>L116+M11</f>
        <v/>
      </c>
      <c r="N116" s="82">
        <f>M116+N11</f>
        <v/>
      </c>
      <c r="O116" s="82">
        <f>N116+O11</f>
        <v/>
      </c>
      <c r="P116" s="83" t="n"/>
      <c r="Q116" s="84">
        <f>O116-C116</f>
        <v/>
      </c>
      <c r="R116" s="66" t="n"/>
      <c r="S116" s="78" t="n"/>
      <c r="T116" s="78" t="n"/>
      <c r="U116" s="78" t="n"/>
      <c r="V116" s="78" t="n"/>
      <c r="W116" s="78" t="n"/>
      <c r="X116" s="78" t="n"/>
    </row>
    <row r="117" ht="19.5" customHeight="1" s="150">
      <c r="A117" s="78" t="n"/>
      <c r="B117" s="85" t="inlineStr">
        <is>
          <t xml:space="preserve">Robinhood </t>
        </is>
      </c>
      <c r="C117" s="62" t="n">
        <v>1800</v>
      </c>
      <c r="D117" s="82" t="n">
        <v>2600</v>
      </c>
      <c r="E117" s="82" t="n">
        <v>1000</v>
      </c>
      <c r="F117" s="82" t="n">
        <v>2600</v>
      </c>
      <c r="G117" s="82" t="n">
        <v>2600</v>
      </c>
      <c r="H117" s="82" t="n">
        <v>2600</v>
      </c>
      <c r="I117" s="82" t="n">
        <v>2600</v>
      </c>
      <c r="J117" s="82" t="n">
        <v>2600</v>
      </c>
      <c r="K117" s="82" t="n">
        <v>2600</v>
      </c>
      <c r="L117" s="82" t="n">
        <v>2600</v>
      </c>
      <c r="M117" s="82" t="n">
        <v>2600</v>
      </c>
      <c r="N117" s="82" t="n">
        <v>2600</v>
      </c>
      <c r="O117" s="82" t="n">
        <v>2600</v>
      </c>
      <c r="P117" s="83" t="n"/>
      <c r="Q117" s="84">
        <f>O117-C117</f>
        <v/>
      </c>
      <c r="R117" s="66" t="n"/>
      <c r="S117" s="78" t="n"/>
      <c r="T117" s="78" t="n"/>
      <c r="U117" s="78" t="n"/>
      <c r="V117" s="78" t="n"/>
      <c r="W117" s="78" t="n"/>
      <c r="X117" s="78" t="n"/>
    </row>
    <row r="118" ht="19.5" customHeight="1" s="150">
      <c r="A118" s="78" t="n"/>
      <c r="B118" s="85" t="inlineStr">
        <is>
          <t>401k (TRMB)</t>
        </is>
      </c>
      <c r="C118" s="62" t="n">
        <v>12000</v>
      </c>
      <c r="D118" s="82" t="n">
        <v>12100</v>
      </c>
      <c r="E118" s="82">
        <f>D118+E34</f>
        <v/>
      </c>
      <c r="F118" s="82">
        <f>E118+F34</f>
        <v/>
      </c>
      <c r="G118" s="82">
        <f>F118+G34</f>
        <v/>
      </c>
      <c r="H118" s="82">
        <f>G118+H34</f>
        <v/>
      </c>
      <c r="I118" s="82">
        <f>H118+I34</f>
        <v/>
      </c>
      <c r="J118" s="82">
        <f>I118+J34</f>
        <v/>
      </c>
      <c r="K118" s="82">
        <f>J118+K34</f>
        <v/>
      </c>
      <c r="L118" s="82">
        <f>K118+L34</f>
        <v/>
      </c>
      <c r="M118" s="82">
        <f>L118+M34</f>
        <v/>
      </c>
      <c r="N118" s="82">
        <f>M118+N34</f>
        <v/>
      </c>
      <c r="O118" s="82">
        <f>N118+O34</f>
        <v/>
      </c>
      <c r="P118" s="83" t="n"/>
      <c r="Q118" s="84">
        <f>O118-C118</f>
        <v/>
      </c>
      <c r="R118" s="66" t="n"/>
      <c r="S118" s="78" t="n"/>
      <c r="T118" s="78" t="n"/>
      <c r="U118" s="78" t="n"/>
      <c r="V118" s="78" t="n"/>
      <c r="W118" s="78" t="n"/>
      <c r="X118" s="78" t="n"/>
    </row>
    <row r="119" ht="19.5" customHeight="1" s="150">
      <c r="A119" s="78" t="n"/>
      <c r="B119" s="85" t="inlineStr">
        <is>
          <t>401k (BorkerageLink)</t>
        </is>
      </c>
      <c r="C119" s="62" t="n">
        <v>9000</v>
      </c>
      <c r="D119" s="82" t="n">
        <v>9750</v>
      </c>
      <c r="E119" s="82">
        <f>D119+E33+($D$14*0.04)</f>
        <v/>
      </c>
      <c r="F119" s="82">
        <f>E119+F33+($D$14*0.04)</f>
        <v/>
      </c>
      <c r="G119" s="82">
        <f>F119+G33+($D$14*0.04)</f>
        <v/>
      </c>
      <c r="H119" s="82">
        <f>G119+H33+($D$14*0.04)</f>
        <v/>
      </c>
      <c r="I119" s="82">
        <f>H119+I33+($D$14*0.04)</f>
        <v/>
      </c>
      <c r="J119" s="82">
        <f>I119+J33+($D$14*0.04)</f>
        <v/>
      </c>
      <c r="K119" s="82">
        <f>J119+K33+($D$14*0.04)</f>
        <v/>
      </c>
      <c r="L119" s="82">
        <f>K119+L33+($D$14*0.04)</f>
        <v/>
      </c>
      <c r="M119" s="82">
        <f>L119+M33+($D$14*0.04)</f>
        <v/>
      </c>
      <c r="N119" s="82">
        <f>M119+N33+($D$14*0.04)</f>
        <v/>
      </c>
      <c r="O119" s="82">
        <f>N119+O33+($D$14*0.04)</f>
        <v/>
      </c>
      <c r="P119" s="83" t="n"/>
      <c r="Q119" s="84">
        <f>O119-C119</f>
        <v/>
      </c>
      <c r="R119" s="66" t="n"/>
      <c r="S119" s="78" t="n"/>
      <c r="T119" s="78" t="n"/>
      <c r="U119" s="78" t="n"/>
      <c r="V119" s="78" t="n"/>
      <c r="W119" s="78" t="n"/>
      <c r="X119" s="78" t="n"/>
    </row>
    <row r="120" ht="19.5" customHeight="1" s="150">
      <c r="A120" s="87" t="n">
        <v>75</v>
      </c>
      <c r="B120" s="85" t="inlineStr">
        <is>
          <t>Car</t>
        </is>
      </c>
      <c r="C120" s="62" t="n">
        <v>3000</v>
      </c>
      <c r="D120" s="82">
        <f>C120-$A$120</f>
        <v/>
      </c>
      <c r="E120" s="82">
        <f>D120-$A$120</f>
        <v/>
      </c>
      <c r="F120" s="82">
        <f>E120-$A$120</f>
        <v/>
      </c>
      <c r="G120" s="82">
        <f>F120-$A$120</f>
        <v/>
      </c>
      <c r="H120" s="82">
        <f>G120-$A$120</f>
        <v/>
      </c>
      <c r="I120" s="82">
        <f>H120-$A$120</f>
        <v/>
      </c>
      <c r="J120" s="82">
        <f>I120-$A$120</f>
        <v/>
      </c>
      <c r="K120" s="82">
        <f>J120-$A$120</f>
        <v/>
      </c>
      <c r="L120" s="82">
        <f>K120-$A$120</f>
        <v/>
      </c>
      <c r="M120" s="82">
        <f>L120-$A$120</f>
        <v/>
      </c>
      <c r="N120" s="82">
        <f>M120-$A$120</f>
        <v/>
      </c>
      <c r="O120" s="82">
        <f>N120-$A$120</f>
        <v/>
      </c>
      <c r="P120" s="83" t="n"/>
      <c r="Q120" s="84">
        <f>O120-C120</f>
        <v/>
      </c>
      <c r="R120" s="66" t="n"/>
      <c r="S120" s="78" t="n"/>
      <c r="T120" s="78" t="n"/>
      <c r="U120" s="78" t="n"/>
      <c r="V120" s="78" t="n"/>
      <c r="W120" s="78" t="n"/>
      <c r="X120" s="78" t="n"/>
    </row>
    <row r="121" ht="19.5" customHeight="1" s="150">
      <c r="A121" s="78" t="n"/>
      <c r="B121" s="85" t="inlineStr">
        <is>
          <t>Other</t>
        </is>
      </c>
      <c r="C121" s="62" t="n">
        <v>0</v>
      </c>
      <c r="D121" s="82" t="n">
        <v>0</v>
      </c>
      <c r="E121" s="82" t="n">
        <v>0</v>
      </c>
      <c r="F121" s="82" t="n">
        <v>0</v>
      </c>
      <c r="G121" s="82" t="n">
        <v>0</v>
      </c>
      <c r="H121" s="82" t="n">
        <v>0</v>
      </c>
      <c r="I121" s="82" t="n">
        <v>0</v>
      </c>
      <c r="J121" s="82" t="n">
        <v>0</v>
      </c>
      <c r="K121" s="82" t="n">
        <v>0</v>
      </c>
      <c r="L121" s="82" t="n">
        <v>0</v>
      </c>
      <c r="M121" s="82" t="n">
        <v>0</v>
      </c>
      <c r="N121" s="82" t="n">
        <v>0</v>
      </c>
      <c r="O121" s="82" t="n">
        <v>0</v>
      </c>
      <c r="P121" s="83" t="n"/>
      <c r="Q121" s="84" t="n">
        <v>0</v>
      </c>
      <c r="R121" s="66" t="n"/>
      <c r="S121" s="78" t="n"/>
      <c r="T121" s="78" t="n"/>
      <c r="U121" s="78" t="n"/>
      <c r="V121" s="78" t="n"/>
      <c r="W121" s="78" t="n"/>
      <c r="X121" s="78" t="n"/>
    </row>
    <row r="122" ht="19.5" customHeight="1" s="150">
      <c r="A122" s="78" t="n"/>
      <c r="B122" s="76" t="n"/>
      <c r="C122" s="68" t="n"/>
      <c r="D122" s="88" t="n"/>
      <c r="E122" s="88" t="n"/>
      <c r="F122" s="88" t="n"/>
      <c r="G122" s="88" t="n"/>
      <c r="H122" s="88" t="n"/>
      <c r="I122" s="88" t="n"/>
      <c r="J122" s="88" t="n"/>
      <c r="K122" s="88" t="n"/>
      <c r="L122" s="88" t="n"/>
      <c r="M122" s="88" t="n"/>
      <c r="N122" s="88" t="n"/>
      <c r="O122" s="88" t="n"/>
      <c r="P122" s="89" t="n"/>
      <c r="Q122" s="90" t="n"/>
      <c r="R122" s="78" t="n"/>
      <c r="S122" s="78" t="n"/>
      <c r="T122" s="78" t="n"/>
      <c r="U122" s="78" t="n"/>
      <c r="V122" s="78" t="n"/>
      <c r="W122" s="78" t="n"/>
      <c r="X122" s="78" t="n"/>
    </row>
    <row r="123" ht="19.5" customHeight="1" s="150">
      <c r="A123" s="78" t="n"/>
      <c r="B123" s="72" t="inlineStr">
        <is>
          <t>TOTAL ASSETS</t>
        </is>
      </c>
      <c r="C123" s="73">
        <f>sum(C113:C121)</f>
        <v/>
      </c>
      <c r="D123" s="73">
        <f>sum(D113:D121)</f>
        <v/>
      </c>
      <c r="E123" s="73">
        <f>sum(E113:E121)</f>
        <v/>
      </c>
      <c r="F123" s="73">
        <f>sum(F113:F119)</f>
        <v/>
      </c>
      <c r="G123" s="73">
        <f>sum(G113:G121)</f>
        <v/>
      </c>
      <c r="H123" s="73">
        <f>sum(H113:H121)</f>
        <v/>
      </c>
      <c r="I123" s="73">
        <f>sum(I113:I121)</f>
        <v/>
      </c>
      <c r="J123" s="73">
        <f>sum(J113:J121)</f>
        <v/>
      </c>
      <c r="K123" s="73">
        <f>sum(K113:K121)</f>
        <v/>
      </c>
      <c r="L123" s="73">
        <f>sum(L113:L121)</f>
        <v/>
      </c>
      <c r="M123" s="73">
        <f>sum(M113:M121)</f>
        <v/>
      </c>
      <c r="N123" s="73">
        <f>sum(N113:N121)</f>
        <v/>
      </c>
      <c r="O123" s="73">
        <f>Sum(O113:O121)</f>
        <v/>
      </c>
      <c r="P123" s="91" t="n"/>
      <c r="Q123" s="75">
        <f>SUM(Q113:Q122)</f>
        <v/>
      </c>
      <c r="R123" s="66" t="n"/>
      <c r="S123" s="78" t="n"/>
      <c r="T123" s="78" t="n"/>
      <c r="U123" s="78" t="n"/>
      <c r="V123" s="78" t="n"/>
      <c r="W123" s="78" t="n"/>
      <c r="X123" s="78" t="n"/>
    </row>
    <row r="124" ht="15" customHeight="1" s="150">
      <c r="A124" s="78" t="n"/>
      <c r="B124" s="78" t="n"/>
      <c r="C124" s="78" t="n"/>
      <c r="D124" s="78" t="n"/>
      <c r="E124" s="78" t="n"/>
      <c r="F124" s="78" t="n"/>
      <c r="G124" s="78" t="n"/>
      <c r="H124" s="78" t="n"/>
      <c r="I124" s="78" t="n"/>
      <c r="J124" s="78" t="n"/>
      <c r="K124" s="78" t="n"/>
      <c r="L124" s="78" t="n"/>
      <c r="M124" s="78" t="n"/>
      <c r="N124" s="78" t="n"/>
      <c r="O124" s="78" t="n"/>
      <c r="P124" s="78" t="n"/>
      <c r="Q124" s="78" t="n"/>
      <c r="R124" s="78" t="n"/>
      <c r="S124" s="78" t="n"/>
      <c r="T124" s="78" t="n"/>
      <c r="U124" s="78" t="n"/>
      <c r="V124" s="78" t="n"/>
      <c r="W124" s="78" t="n"/>
      <c r="X124" s="78" t="n"/>
    </row>
    <row r="125" ht="15" customHeight="1" s="150">
      <c r="A125" s="78" t="n"/>
      <c r="B125" s="72" t="inlineStr">
        <is>
          <t>FICO 8 Credit Score</t>
        </is>
      </c>
      <c r="C125" s="92" t="n">
        <v>584</v>
      </c>
      <c r="D125" s="92" t="n">
        <v>595</v>
      </c>
      <c r="E125" s="92" t="n">
        <v>584</v>
      </c>
      <c r="F125" s="92" t="n">
        <v>584</v>
      </c>
      <c r="G125" s="92" t="n">
        <v>584</v>
      </c>
      <c r="H125" s="92" t="n">
        <v>584</v>
      </c>
      <c r="I125" s="92" t="n">
        <v>584</v>
      </c>
      <c r="J125" s="92" t="n">
        <v>584</v>
      </c>
      <c r="K125" s="92" t="n">
        <v>584</v>
      </c>
      <c r="L125" s="92" t="n">
        <v>584</v>
      </c>
      <c r="M125" s="92" t="n">
        <v>584</v>
      </c>
      <c r="N125" s="92" t="n">
        <v>584</v>
      </c>
      <c r="O125" s="92" t="n">
        <v>584</v>
      </c>
      <c r="P125" s="91" t="n"/>
      <c r="Q125" s="92" t="n">
        <v>584</v>
      </c>
      <c r="R125" s="78" t="n"/>
      <c r="S125" s="78" t="n"/>
      <c r="T125" s="78" t="n"/>
      <c r="U125" s="78" t="n"/>
      <c r="V125" s="78" t="n"/>
      <c r="W125" s="78" t="n"/>
      <c r="X125" s="78" t="n"/>
    </row>
    <row r="126" ht="15" customHeight="1" s="150">
      <c r="A126" s="78" t="n"/>
      <c r="B126" s="78" t="n"/>
      <c r="C126" s="78" t="n"/>
      <c r="D126" s="78" t="n"/>
      <c r="E126" s="78" t="n"/>
      <c r="F126" s="78" t="n"/>
      <c r="G126" s="78" t="n"/>
      <c r="H126" s="78" t="n"/>
      <c r="I126" s="78" t="n"/>
      <c r="J126" s="78" t="n"/>
      <c r="K126" s="78" t="n"/>
      <c r="L126" s="78" t="n"/>
      <c r="M126" s="78" t="n"/>
      <c r="N126" s="78" t="n"/>
      <c r="O126" s="78" t="n"/>
      <c r="P126" s="78" t="n"/>
      <c r="Q126" s="78" t="n"/>
      <c r="R126" s="78" t="n"/>
      <c r="S126" s="78" t="n"/>
      <c r="T126" s="78" t="n"/>
      <c r="U126" s="78" t="n"/>
      <c r="V126" s="78" t="n"/>
      <c r="W126" s="78" t="n"/>
      <c r="X126" s="78" t="n"/>
    </row>
    <row r="127" ht="15" customHeight="1" s="150">
      <c r="A127" s="78" t="n"/>
      <c r="B127" s="78" t="n"/>
      <c r="C127" s="78" t="n"/>
      <c r="D127" s="78" t="n"/>
      <c r="E127" s="78" t="n"/>
      <c r="F127" s="78" t="n"/>
      <c r="G127" s="78" t="n"/>
      <c r="H127" s="78" t="n"/>
      <c r="I127" s="78" t="n"/>
      <c r="J127" s="78" t="n"/>
      <c r="K127" s="78" t="n"/>
      <c r="L127" s="78" t="n"/>
      <c r="M127" s="78" t="n"/>
      <c r="N127" s="78" t="n"/>
      <c r="O127" s="78" t="n"/>
      <c r="P127" s="78" t="n"/>
      <c r="Q127" s="78" t="n"/>
      <c r="R127" s="78" t="n"/>
      <c r="S127" s="78" t="n"/>
      <c r="T127" s="78" t="n"/>
      <c r="U127" s="78" t="n"/>
      <c r="V127" s="78" t="n"/>
      <c r="W127" s="78" t="n"/>
      <c r="X127" s="78" t="n"/>
    </row>
    <row r="128" ht="15" customHeight="1" s="150">
      <c r="A128" s="78" t="n"/>
      <c r="B128" s="78" t="n"/>
      <c r="C128" s="78" t="n"/>
      <c r="D128" s="78" t="n"/>
      <c r="E128" s="78" t="n"/>
      <c r="F128" s="78" t="n"/>
      <c r="G128" s="78" t="n"/>
      <c r="H128" s="78" t="n"/>
      <c r="I128" s="78" t="n"/>
      <c r="J128" s="78" t="n"/>
      <c r="K128" s="78" t="n"/>
      <c r="L128" s="78" t="n"/>
      <c r="M128" s="78" t="n"/>
      <c r="N128" s="78" t="n"/>
      <c r="O128" s="78" t="n"/>
      <c r="P128" s="78" t="n"/>
      <c r="Q128" s="78" t="n"/>
      <c r="R128" s="78" t="n"/>
      <c r="S128" s="78" t="n"/>
      <c r="T128" s="78" t="n"/>
      <c r="U128" s="78" t="n"/>
      <c r="V128" s="78" t="n"/>
      <c r="W128" s="78" t="n"/>
      <c r="X128" s="78" t="n"/>
    </row>
    <row r="129" ht="15" customHeight="1" s="150">
      <c r="A129" s="78" t="n"/>
      <c r="B129" s="78" t="n"/>
      <c r="C129" s="78" t="n"/>
      <c r="D129" s="78" t="n"/>
      <c r="E129" s="78" t="n"/>
      <c r="F129" s="78" t="n"/>
      <c r="G129" s="78" t="n"/>
      <c r="H129" s="78" t="n"/>
      <c r="I129" s="78" t="n"/>
      <c r="J129" s="78" t="n"/>
      <c r="K129" s="78" t="n"/>
      <c r="L129" s="78" t="n"/>
      <c r="M129" s="78" t="n"/>
      <c r="N129" s="78" t="n"/>
      <c r="O129" s="78" t="n"/>
      <c r="P129" s="78" t="n"/>
      <c r="Q129" s="78" t="n"/>
      <c r="R129" s="78" t="n"/>
      <c r="S129" s="78" t="n"/>
      <c r="T129" s="78" t="n"/>
      <c r="U129" s="78" t="n"/>
      <c r="V129" s="78" t="n"/>
      <c r="W129" s="78" t="n"/>
      <c r="X129" s="78" t="n"/>
    </row>
    <row r="130" ht="15" customHeight="1" s="150">
      <c r="A130" s="78" t="n"/>
      <c r="B130" s="78" t="n"/>
      <c r="C130" s="78" t="n"/>
      <c r="D130" s="93" t="n"/>
      <c r="E130" s="78" t="n"/>
      <c r="F130" s="78" t="n"/>
      <c r="G130" s="78" t="n"/>
      <c r="H130" s="78" t="n"/>
      <c r="I130" s="78" t="n"/>
      <c r="J130" s="78" t="n"/>
      <c r="K130" s="78" t="n"/>
      <c r="L130" s="78" t="n"/>
      <c r="M130" s="78" t="n"/>
      <c r="N130" s="78" t="n"/>
      <c r="O130" s="78" t="n"/>
      <c r="P130" s="78" t="n"/>
      <c r="Q130" s="78" t="n"/>
      <c r="R130" s="78" t="n"/>
      <c r="S130" s="78" t="n"/>
      <c r="T130" s="78" t="n"/>
      <c r="U130" s="78" t="n"/>
      <c r="V130" s="78" t="n"/>
      <c r="W130" s="78" t="n"/>
      <c r="X130" s="78" t="n"/>
    </row>
    <row r="131" ht="15" customHeight="1" s="150">
      <c r="A131" s="78" t="n"/>
      <c r="B131" s="78" t="n"/>
      <c r="C131" s="78" t="n"/>
      <c r="D131" s="78" t="n"/>
      <c r="E131" s="78" t="n"/>
      <c r="F131" s="78" t="n"/>
      <c r="G131" s="78" t="n"/>
      <c r="H131" s="78" t="n"/>
      <c r="I131" s="78" t="n"/>
      <c r="J131" s="78" t="n"/>
      <c r="K131" s="78" t="n"/>
      <c r="L131" s="78" t="n"/>
      <c r="M131" s="78" t="n"/>
      <c r="N131" s="78" t="n"/>
      <c r="O131" s="78" t="n"/>
      <c r="P131" s="78" t="n"/>
      <c r="Q131" s="78" t="n"/>
      <c r="R131" s="78" t="n"/>
      <c r="S131" s="78" t="n"/>
      <c r="T131" s="78" t="n"/>
      <c r="U131" s="78" t="n"/>
      <c r="V131" s="78" t="n"/>
      <c r="W131" s="78" t="n"/>
      <c r="X131" s="78" t="n"/>
    </row>
    <row r="132" ht="15" customHeight="1" s="150">
      <c r="A132" s="78" t="n"/>
      <c r="B132" s="78" t="n"/>
      <c r="C132" s="78" t="n"/>
      <c r="D132" s="78" t="n"/>
      <c r="E132" s="78" t="n"/>
      <c r="F132" s="78" t="n"/>
      <c r="G132" s="78" t="n"/>
      <c r="H132" s="78" t="n"/>
      <c r="I132" s="78" t="n"/>
      <c r="J132" s="78" t="n"/>
      <c r="K132" s="78" t="n"/>
      <c r="L132" s="78" t="n"/>
      <c r="M132" s="78" t="n"/>
      <c r="N132" s="78" t="n"/>
      <c r="O132" s="78" t="n"/>
      <c r="P132" s="78" t="n"/>
      <c r="Q132" s="78" t="n"/>
      <c r="R132" s="78" t="n"/>
      <c r="S132" s="78" t="n"/>
      <c r="T132" s="78" t="n"/>
      <c r="U132" s="78" t="n"/>
      <c r="V132" s="78" t="n"/>
      <c r="W132" s="78" t="n"/>
      <c r="X132" s="78" t="n"/>
    </row>
    <row r="133" ht="15" customHeight="1" s="150">
      <c r="A133" s="78" t="n"/>
      <c r="B133" s="78" t="n"/>
      <c r="C133" s="78" t="n"/>
      <c r="D133" s="78" t="n"/>
      <c r="E133" s="78" t="n"/>
      <c r="F133" s="78" t="n"/>
      <c r="G133" s="78" t="n"/>
      <c r="H133" s="78" t="n"/>
      <c r="I133" s="78" t="n"/>
      <c r="J133" s="78" t="n"/>
      <c r="K133" s="78" t="n"/>
      <c r="L133" s="78" t="n"/>
      <c r="M133" s="78" t="n"/>
      <c r="N133" s="78" t="n"/>
      <c r="O133" s="78" t="n"/>
      <c r="P133" s="78" t="n"/>
      <c r="Q133" s="78" t="n"/>
      <c r="R133" s="78" t="n"/>
      <c r="S133" s="78" t="n"/>
      <c r="T133" s="78" t="n"/>
      <c r="U133" s="78" t="n"/>
      <c r="V133" s="78" t="n"/>
      <c r="W133" s="78" t="n"/>
      <c r="X133" s="78" t="n"/>
    </row>
    <row r="134" ht="15" customHeight="1" s="150">
      <c r="A134" s="78" t="n"/>
      <c r="B134" s="78" t="n"/>
      <c r="C134" s="78" t="n"/>
      <c r="D134" s="78" t="n"/>
      <c r="E134" s="78" t="n"/>
      <c r="F134" s="78" t="n"/>
      <c r="G134" s="78" t="n"/>
      <c r="H134" s="78" t="n"/>
      <c r="I134" s="78" t="n"/>
      <c r="J134" s="78" t="n"/>
      <c r="K134" s="78" t="n"/>
      <c r="L134" s="78" t="n"/>
      <c r="M134" s="78" t="n"/>
      <c r="N134" s="78" t="n"/>
      <c r="O134" s="78" t="n"/>
      <c r="P134" s="78" t="n"/>
      <c r="Q134" s="78" t="n"/>
      <c r="R134" s="78" t="n"/>
      <c r="S134" s="78" t="n"/>
      <c r="T134" s="78" t="n"/>
      <c r="U134" s="78" t="n"/>
      <c r="V134" s="78" t="n"/>
      <c r="W134" s="78" t="n"/>
      <c r="X134" s="78" t="n"/>
    </row>
    <row r="135" ht="15" customHeight="1" s="150">
      <c r="A135" s="78" t="n"/>
      <c r="B135" s="78" t="n"/>
      <c r="C135" s="78" t="n"/>
      <c r="D135" s="78" t="n"/>
      <c r="E135" s="78" t="n"/>
      <c r="F135" s="78" t="n"/>
      <c r="G135" s="78" t="n"/>
      <c r="H135" s="78" t="n"/>
      <c r="I135" s="78" t="n"/>
      <c r="J135" s="78" t="n"/>
      <c r="K135" s="78" t="n"/>
      <c r="L135" s="78" t="n"/>
      <c r="M135" s="78" t="n"/>
      <c r="N135" s="78" t="n"/>
      <c r="O135" s="78" t="n"/>
      <c r="P135" s="78" t="n"/>
      <c r="Q135" s="78" t="n"/>
      <c r="R135" s="78" t="n"/>
      <c r="S135" s="78" t="n"/>
      <c r="T135" s="78" t="n"/>
      <c r="U135" s="78" t="n"/>
      <c r="V135" s="78" t="n"/>
      <c r="W135" s="78" t="n"/>
      <c r="X135" s="78" t="n"/>
    </row>
    <row r="136" ht="15" customHeight="1" s="150">
      <c r="A136" s="78" t="n"/>
      <c r="B136" s="78" t="n"/>
      <c r="C136" s="78" t="n"/>
      <c r="D136" s="78" t="n"/>
      <c r="E136" s="78" t="n"/>
      <c r="F136" s="78" t="n"/>
      <c r="G136" s="78" t="n"/>
      <c r="H136" s="78" t="n"/>
      <c r="I136" s="78" t="n"/>
      <c r="J136" s="78" t="n"/>
      <c r="K136" s="78" t="n"/>
      <c r="L136" s="78" t="n"/>
      <c r="M136" s="78" t="n"/>
      <c r="N136" s="78" t="n"/>
      <c r="O136" s="78" t="n"/>
      <c r="P136" s="78" t="n"/>
      <c r="Q136" s="78" t="n"/>
      <c r="R136" s="78" t="n"/>
      <c r="S136" s="78" t="n"/>
      <c r="T136" s="78" t="n"/>
      <c r="U136" s="78" t="n"/>
      <c r="V136" s="78" t="n"/>
      <c r="W136" s="78" t="n"/>
      <c r="X136" s="78" t="n"/>
    </row>
    <row r="137" ht="15" customHeight="1" s="150">
      <c r="A137" s="78" t="n"/>
      <c r="B137" s="78" t="n"/>
      <c r="C137" s="78" t="n"/>
      <c r="D137" s="78" t="n"/>
      <c r="E137" s="78" t="n"/>
      <c r="F137" s="78" t="n"/>
      <c r="G137" s="78" t="n"/>
      <c r="H137" s="78" t="n"/>
      <c r="I137" s="78" t="n"/>
      <c r="J137" s="78" t="n"/>
      <c r="K137" s="78" t="n"/>
      <c r="L137" s="78" t="n"/>
      <c r="M137" s="78" t="n"/>
      <c r="N137" s="78" t="n"/>
      <c r="O137" s="78" t="n"/>
      <c r="P137" s="78" t="n"/>
      <c r="Q137" s="78" t="n"/>
      <c r="R137" s="78" t="n"/>
      <c r="S137" s="78" t="n"/>
      <c r="T137" s="78" t="n"/>
      <c r="U137" s="78" t="n"/>
      <c r="V137" s="78" t="n"/>
      <c r="W137" s="78" t="n"/>
      <c r="X137" s="78" t="n"/>
    </row>
    <row r="138" ht="15" customHeight="1" s="150">
      <c r="A138" s="78" t="n"/>
      <c r="B138" s="78" t="n"/>
      <c r="C138" s="78" t="n"/>
      <c r="D138" s="78" t="n"/>
      <c r="E138" s="78" t="n"/>
      <c r="F138" s="78" t="n"/>
      <c r="G138" s="78" t="n"/>
      <c r="H138" s="78" t="n"/>
      <c r="I138" s="78" t="n"/>
      <c r="J138" s="78" t="n"/>
      <c r="K138" s="78" t="n"/>
      <c r="L138" s="78" t="n"/>
      <c r="M138" s="78" t="n"/>
      <c r="N138" s="78" t="n"/>
      <c r="O138" s="78" t="n"/>
      <c r="P138" s="78" t="n"/>
      <c r="Q138" s="78" t="n"/>
      <c r="R138" s="78" t="n"/>
      <c r="S138" s="78" t="n"/>
      <c r="T138" s="78" t="n"/>
      <c r="U138" s="78" t="n"/>
      <c r="V138" s="78" t="n"/>
      <c r="W138" s="78" t="n"/>
      <c r="X138" s="78" t="n"/>
    </row>
    <row r="139" ht="15" customHeight="1" s="150">
      <c r="A139" s="78" t="n"/>
      <c r="B139" s="78" t="n"/>
      <c r="C139" s="78" t="n"/>
      <c r="D139" s="78" t="n"/>
      <c r="E139" s="78" t="n"/>
      <c r="F139" s="78" t="n"/>
      <c r="G139" s="78" t="n"/>
      <c r="H139" s="78" t="n"/>
      <c r="I139" s="78" t="n"/>
      <c r="J139" s="78" t="n"/>
      <c r="K139" s="78" t="n"/>
      <c r="L139" s="78" t="n"/>
      <c r="M139" s="78" t="n"/>
      <c r="N139" s="78" t="n"/>
      <c r="O139" s="78" t="n"/>
      <c r="P139" s="78" t="n"/>
      <c r="Q139" s="78" t="n"/>
      <c r="R139" s="78" t="n"/>
      <c r="S139" s="78" t="n"/>
      <c r="T139" s="78" t="n"/>
      <c r="U139" s="78" t="n"/>
      <c r="V139" s="78" t="n"/>
      <c r="W139" s="78" t="n"/>
      <c r="X139" s="78" t="n"/>
    </row>
    <row r="140" ht="15" customHeight="1" s="150">
      <c r="A140" s="78" t="n"/>
      <c r="B140" s="78" t="n"/>
      <c r="C140" s="78" t="n"/>
      <c r="D140" s="78" t="n"/>
      <c r="E140" s="78" t="n"/>
      <c r="F140" s="78" t="n"/>
      <c r="G140" s="78" t="n"/>
      <c r="H140" s="78" t="n"/>
      <c r="I140" s="78" t="n"/>
      <c r="J140" s="78" t="n"/>
      <c r="K140" s="78" t="n"/>
      <c r="L140" s="78" t="n"/>
      <c r="M140" s="78" t="n"/>
      <c r="N140" s="78" t="n"/>
      <c r="O140" s="78" t="n"/>
      <c r="P140" s="78" t="n"/>
      <c r="Q140" s="78" t="n"/>
      <c r="R140" s="78" t="n"/>
      <c r="S140" s="78" t="n"/>
      <c r="T140" s="78" t="n"/>
      <c r="U140" s="78" t="n"/>
      <c r="V140" s="78" t="n"/>
      <c r="W140" s="78" t="n"/>
      <c r="X140" s="78" t="n"/>
    </row>
    <row r="141" ht="15" customHeight="1" s="150">
      <c r="A141" s="78" t="n"/>
      <c r="B141" s="78" t="n"/>
      <c r="C141" s="78" t="n"/>
      <c r="D141" s="78" t="n"/>
      <c r="E141" s="78" t="n"/>
      <c r="F141" s="78" t="n"/>
      <c r="G141" s="78" t="n"/>
      <c r="H141" s="78" t="n"/>
      <c r="I141" s="78" t="n"/>
      <c r="J141" s="78" t="n"/>
      <c r="K141" s="78" t="n"/>
      <c r="L141" s="78" t="n"/>
      <c r="M141" s="78" t="n"/>
      <c r="N141" s="78" t="n"/>
      <c r="O141" s="78" t="n"/>
      <c r="P141" s="78" t="n"/>
      <c r="Q141" s="78" t="n"/>
      <c r="R141" s="78" t="n"/>
      <c r="S141" s="78" t="n"/>
      <c r="T141" s="78" t="n"/>
      <c r="U141" s="78" t="n"/>
      <c r="V141" s="78" t="n"/>
      <c r="W141" s="78" t="n"/>
      <c r="X141" s="78" t="n"/>
    </row>
    <row r="142" ht="15" customHeight="1" s="150">
      <c r="A142" s="78" t="n"/>
      <c r="B142" s="78" t="n"/>
      <c r="C142" s="78" t="n"/>
      <c r="D142" s="78" t="n"/>
      <c r="E142" s="78" t="n"/>
      <c r="F142" s="78" t="n"/>
      <c r="G142" s="78" t="n"/>
      <c r="H142" s="78" t="n"/>
      <c r="I142" s="78" t="n"/>
      <c r="J142" s="78" t="n"/>
      <c r="K142" s="78" t="n"/>
      <c r="L142" s="78" t="n"/>
      <c r="M142" s="78" t="n"/>
      <c r="N142" s="78" t="n"/>
      <c r="O142" s="78" t="n"/>
      <c r="P142" s="78" t="n"/>
      <c r="Q142" s="78" t="n"/>
      <c r="R142" s="78" t="n"/>
      <c r="S142" s="78" t="n"/>
      <c r="T142" s="78" t="n"/>
      <c r="U142" s="78" t="n"/>
      <c r="V142" s="78" t="n"/>
      <c r="W142" s="78" t="n"/>
      <c r="X142" s="78" t="n"/>
    </row>
    <row r="143" ht="15" customHeight="1" s="150">
      <c r="A143" s="78" t="n"/>
      <c r="B143" s="78" t="n"/>
      <c r="C143" s="78" t="n"/>
      <c r="D143" s="78" t="n"/>
      <c r="E143" s="78" t="n"/>
      <c r="F143" s="78" t="n"/>
      <c r="G143" s="78" t="n"/>
      <c r="H143" s="78" t="n"/>
      <c r="I143" s="78" t="n"/>
      <c r="J143" s="78" t="n"/>
      <c r="K143" s="78" t="n"/>
      <c r="L143" s="78" t="n"/>
      <c r="M143" s="78" t="n"/>
      <c r="N143" s="78" t="n"/>
      <c r="O143" s="78" t="n"/>
      <c r="P143" s="78" t="n"/>
      <c r="Q143" s="78" t="n"/>
      <c r="R143" s="78" t="n"/>
      <c r="S143" s="78" t="n"/>
      <c r="T143" s="78" t="n"/>
      <c r="U143" s="78" t="n"/>
      <c r="V143" s="78" t="n"/>
      <c r="W143" s="78" t="n"/>
      <c r="X143" s="78" t="n"/>
    </row>
    <row r="144" ht="15" customHeight="1" s="150">
      <c r="A144" s="78" t="n"/>
      <c r="B144" s="78" t="n"/>
      <c r="C144" s="78" t="n"/>
      <c r="D144" s="78" t="n"/>
      <c r="E144" s="78" t="n"/>
      <c r="F144" s="78" t="n"/>
      <c r="G144" s="78" t="n"/>
      <c r="H144" s="78" t="n"/>
      <c r="I144" s="78" t="n"/>
      <c r="J144" s="78" t="n"/>
      <c r="K144" s="78" t="n"/>
      <c r="L144" s="78" t="n"/>
      <c r="M144" s="78" t="n"/>
      <c r="N144" s="78" t="n"/>
      <c r="O144" s="78" t="n"/>
      <c r="P144" s="78" t="n"/>
      <c r="Q144" s="78" t="n"/>
      <c r="R144" s="78" t="n"/>
      <c r="S144" s="78" t="n"/>
      <c r="T144" s="78" t="n"/>
      <c r="U144" s="78" t="n"/>
      <c r="V144" s="78" t="n"/>
      <c r="W144" s="78" t="n"/>
      <c r="X144" s="78" t="n"/>
    </row>
    <row r="145" ht="15" customHeight="1" s="150">
      <c r="A145" s="78" t="n"/>
      <c r="B145" s="78" t="n"/>
      <c r="C145" s="78" t="n"/>
      <c r="D145" s="78" t="n"/>
      <c r="E145" s="78" t="n"/>
      <c r="F145" s="78" t="n"/>
      <c r="G145" s="78" t="n"/>
      <c r="H145" s="78" t="n"/>
      <c r="I145" s="78" t="n"/>
      <c r="J145" s="78" t="n"/>
      <c r="K145" s="78" t="n"/>
      <c r="L145" s="78" t="n"/>
      <c r="M145" s="78" t="n"/>
      <c r="N145" s="78" t="n"/>
      <c r="O145" s="78" t="n"/>
      <c r="P145" s="78" t="n"/>
      <c r="Q145" s="78" t="n"/>
      <c r="R145" s="78" t="n"/>
      <c r="S145" s="78" t="n"/>
      <c r="T145" s="78" t="n"/>
      <c r="U145" s="78" t="n"/>
      <c r="V145" s="78" t="n"/>
      <c r="W145" s="78" t="n"/>
      <c r="X145" s="78" t="n"/>
    </row>
    <row r="146" ht="15" customHeight="1" s="150">
      <c r="A146" s="78" t="n"/>
      <c r="B146" s="78" t="n"/>
      <c r="C146" s="78" t="n"/>
      <c r="D146" s="78" t="n"/>
      <c r="E146" s="78" t="n"/>
      <c r="F146" s="78" t="n"/>
      <c r="G146" s="78" t="n"/>
      <c r="H146" s="78" t="n"/>
      <c r="I146" s="78" t="n"/>
      <c r="J146" s="78" t="n"/>
      <c r="K146" s="78" t="n"/>
      <c r="L146" s="78" t="n"/>
      <c r="M146" s="78" t="n"/>
      <c r="N146" s="78" t="n"/>
      <c r="O146" s="78" t="n"/>
      <c r="P146" s="78" t="n"/>
      <c r="Q146" s="78" t="n"/>
      <c r="R146" s="78" t="n"/>
      <c r="S146" s="78" t="n"/>
      <c r="T146" s="78" t="n"/>
      <c r="U146" s="78" t="n"/>
      <c r="V146" s="78" t="n"/>
      <c r="W146" s="78" t="n"/>
      <c r="X146" s="78" t="n"/>
    </row>
    <row r="147" ht="15" customHeight="1" s="150">
      <c r="A147" s="78" t="n"/>
      <c r="B147" s="78" t="n"/>
      <c r="C147" s="78" t="n"/>
      <c r="D147" s="78" t="n"/>
      <c r="E147" s="78" t="n"/>
      <c r="F147" s="78" t="n"/>
      <c r="G147" s="78" t="n"/>
      <c r="H147" s="78" t="n"/>
      <c r="I147" s="78" t="n"/>
      <c r="J147" s="78" t="n"/>
      <c r="K147" s="78" t="n"/>
      <c r="L147" s="78" t="n"/>
      <c r="M147" s="78" t="n"/>
      <c r="N147" s="78" t="n"/>
      <c r="O147" s="78" t="n"/>
      <c r="P147" s="78" t="n"/>
      <c r="Q147" s="78" t="n"/>
      <c r="R147" s="78" t="n"/>
      <c r="S147" s="78" t="n"/>
      <c r="T147" s="78" t="n"/>
      <c r="U147" s="78" t="n"/>
      <c r="V147" s="78" t="n"/>
      <c r="W147" s="78" t="n"/>
      <c r="X147" s="78" t="n"/>
    </row>
    <row r="148" ht="15" customHeight="1" s="150">
      <c r="A148" s="78" t="n"/>
      <c r="B148" s="78" t="n"/>
      <c r="C148" s="78" t="n"/>
      <c r="D148" s="78" t="n"/>
      <c r="E148" s="78" t="n"/>
      <c r="F148" s="78" t="n"/>
      <c r="G148" s="78" t="n"/>
      <c r="H148" s="78" t="n"/>
      <c r="I148" s="78" t="n"/>
      <c r="J148" s="78" t="n"/>
      <c r="K148" s="78" t="n"/>
      <c r="L148" s="78" t="n"/>
      <c r="M148" s="78" t="n"/>
      <c r="N148" s="78" t="n"/>
      <c r="O148" s="78" t="n"/>
      <c r="P148" s="78" t="n"/>
      <c r="Q148" s="78" t="n"/>
      <c r="R148" s="78" t="n"/>
      <c r="S148" s="78" t="n"/>
      <c r="T148" s="78" t="n"/>
      <c r="U148" s="78" t="n"/>
      <c r="V148" s="78" t="n"/>
      <c r="W148" s="78" t="n"/>
      <c r="X148" s="78" t="n"/>
    </row>
    <row r="149" ht="15" customHeight="1" s="150">
      <c r="A149" s="78" t="n"/>
      <c r="B149" s="78" t="n"/>
      <c r="C149" s="78" t="n"/>
      <c r="D149" s="78" t="n"/>
      <c r="E149" s="78" t="n"/>
      <c r="F149" s="78" t="n"/>
      <c r="G149" s="78" t="n"/>
      <c r="H149" s="78" t="n"/>
      <c r="I149" s="78" t="n"/>
      <c r="J149" s="78" t="n"/>
      <c r="K149" s="78" t="n"/>
      <c r="L149" s="78" t="n"/>
      <c r="M149" s="78" t="n"/>
      <c r="N149" s="78" t="n"/>
      <c r="O149" s="78" t="n"/>
      <c r="P149" s="78" t="n"/>
      <c r="Q149" s="78" t="n"/>
      <c r="R149" s="78" t="n"/>
      <c r="S149" s="78" t="n"/>
      <c r="T149" s="78" t="n"/>
      <c r="U149" s="78" t="n"/>
      <c r="V149" s="78" t="n"/>
      <c r="W149" s="78" t="n"/>
      <c r="X149" s="78" t="n"/>
    </row>
    <row r="150" ht="15" customHeight="1" s="150">
      <c r="A150" s="78" t="n"/>
      <c r="B150" s="78" t="n"/>
      <c r="C150" s="78" t="n"/>
      <c r="D150" s="78" t="n"/>
      <c r="E150" s="78" t="n"/>
      <c r="F150" s="78" t="n"/>
      <c r="G150" s="78" t="n"/>
      <c r="H150" s="78" t="n"/>
      <c r="I150" s="78" t="n"/>
      <c r="J150" s="78" t="n"/>
      <c r="K150" s="78" t="n"/>
      <c r="L150" s="78" t="n"/>
      <c r="M150" s="78" t="n"/>
      <c r="N150" s="78" t="n"/>
      <c r="O150" s="78" t="n"/>
      <c r="P150" s="78" t="n"/>
      <c r="Q150" s="78" t="n"/>
      <c r="R150" s="78" t="n"/>
      <c r="S150" s="78" t="n"/>
      <c r="T150" s="78" t="n"/>
      <c r="U150" s="78" t="n"/>
      <c r="V150" s="78" t="n"/>
      <c r="W150" s="78" t="n"/>
      <c r="X150" s="78" t="n"/>
    </row>
    <row r="151" ht="15" customHeight="1" s="150">
      <c r="A151" s="78" t="n"/>
      <c r="B151" s="78" t="n"/>
      <c r="C151" s="78" t="n"/>
      <c r="D151" s="78" t="n"/>
      <c r="E151" s="78" t="n"/>
      <c r="F151" s="78" t="n"/>
      <c r="G151" s="78" t="n"/>
      <c r="H151" s="78" t="n"/>
      <c r="I151" s="78" t="n"/>
      <c r="J151" s="78" t="n"/>
      <c r="K151" s="78" t="n"/>
      <c r="L151" s="78" t="n"/>
      <c r="M151" s="78" t="n"/>
      <c r="N151" s="78" t="n"/>
      <c r="O151" s="78" t="n"/>
      <c r="P151" s="78" t="n"/>
      <c r="Q151" s="78" t="n"/>
      <c r="R151" s="78" t="n"/>
      <c r="S151" s="78" t="n"/>
      <c r="T151" s="78" t="n"/>
      <c r="U151" s="78" t="n"/>
      <c r="V151" s="78" t="n"/>
      <c r="W151" s="78" t="n"/>
      <c r="X151" s="78" t="n"/>
    </row>
    <row r="152" ht="15" customHeight="1" s="150">
      <c r="A152" s="78" t="n"/>
      <c r="B152" s="78" t="n"/>
      <c r="C152" s="78" t="n"/>
      <c r="D152" s="78" t="n"/>
      <c r="E152" s="78" t="n"/>
      <c r="F152" s="78" t="n"/>
      <c r="G152" s="78" t="n"/>
      <c r="H152" s="78" t="n"/>
      <c r="I152" s="78" t="n"/>
      <c r="J152" s="78" t="n"/>
      <c r="K152" s="78" t="n"/>
      <c r="L152" s="78" t="n"/>
      <c r="M152" s="78" t="n"/>
      <c r="N152" s="78" t="n"/>
      <c r="O152" s="78" t="n"/>
      <c r="P152" s="78" t="n"/>
      <c r="Q152" s="78" t="n"/>
      <c r="R152" s="78" t="n"/>
      <c r="S152" s="78" t="n"/>
      <c r="T152" s="78" t="n"/>
      <c r="U152" s="78" t="n"/>
      <c r="V152" s="78" t="n"/>
      <c r="W152" s="78" t="n"/>
      <c r="X152" s="78" t="n"/>
    </row>
    <row r="153" ht="15" customHeight="1" s="150">
      <c r="A153" s="78" t="n"/>
      <c r="B153" s="78" t="n"/>
      <c r="C153" s="78" t="n"/>
      <c r="D153" s="78" t="n"/>
      <c r="E153" s="78" t="n"/>
      <c r="F153" s="78" t="n"/>
      <c r="G153" s="78" t="n"/>
      <c r="H153" s="78" t="n"/>
      <c r="I153" s="78" t="n"/>
      <c r="J153" s="78" t="n"/>
      <c r="K153" s="78" t="n"/>
      <c r="L153" s="78" t="n"/>
      <c r="M153" s="78" t="n"/>
      <c r="N153" s="78" t="n"/>
      <c r="O153" s="78" t="n"/>
      <c r="P153" s="78" t="n"/>
      <c r="Q153" s="78" t="n"/>
      <c r="R153" s="78" t="n"/>
      <c r="S153" s="78" t="n"/>
      <c r="T153" s="78" t="n"/>
      <c r="U153" s="78" t="n"/>
      <c r="V153" s="78" t="n"/>
      <c r="W153" s="78" t="n"/>
      <c r="X153" s="78" t="n"/>
    </row>
    <row r="154" ht="15" customHeight="1" s="150">
      <c r="A154" s="78" t="n"/>
      <c r="B154" s="78" t="n"/>
      <c r="C154" s="78" t="n"/>
      <c r="D154" s="78" t="n"/>
      <c r="E154" s="78" t="n"/>
      <c r="F154" s="78" t="n"/>
      <c r="G154" s="78" t="n"/>
      <c r="H154" s="78" t="n"/>
      <c r="I154" s="78" t="n"/>
      <c r="J154" s="78" t="n"/>
      <c r="K154" s="78" t="n"/>
      <c r="L154" s="78" t="n"/>
      <c r="M154" s="78" t="n"/>
      <c r="N154" s="78" t="n"/>
      <c r="O154" s="78" t="n"/>
      <c r="P154" s="78" t="n"/>
      <c r="Q154" s="78" t="n"/>
      <c r="R154" s="78" t="n"/>
      <c r="S154" s="78" t="n"/>
      <c r="T154" s="78" t="n"/>
      <c r="U154" s="78" t="n"/>
      <c r="V154" s="78" t="n"/>
      <c r="W154" s="78" t="n"/>
      <c r="X154" s="78" t="n"/>
    </row>
    <row r="155" ht="15" customHeight="1" s="150">
      <c r="A155" s="78" t="n"/>
      <c r="B155" s="78" t="n"/>
      <c r="C155" s="78" t="n"/>
      <c r="D155" s="78" t="n"/>
      <c r="E155" s="78" t="n"/>
      <c r="F155" s="78" t="n"/>
      <c r="G155" s="78" t="n"/>
      <c r="H155" s="78" t="n"/>
      <c r="I155" s="78" t="n"/>
      <c r="J155" s="78" t="n"/>
      <c r="K155" s="78" t="n"/>
      <c r="L155" s="78" t="n"/>
      <c r="M155" s="78" t="n"/>
      <c r="N155" s="78" t="n"/>
      <c r="O155" s="78" t="n"/>
      <c r="P155" s="78" t="n"/>
      <c r="Q155" s="78" t="n"/>
      <c r="R155" s="78" t="n"/>
      <c r="S155" s="78" t="n"/>
      <c r="T155" s="78" t="n"/>
      <c r="U155" s="78" t="n"/>
      <c r="V155" s="78" t="n"/>
      <c r="W155" s="78" t="n"/>
      <c r="X155" s="78" t="n"/>
    </row>
    <row r="156" ht="15" customHeight="1" s="150">
      <c r="A156" s="78" t="n"/>
      <c r="B156" s="78" t="n"/>
      <c r="C156" s="78" t="n"/>
      <c r="D156" s="78" t="n"/>
      <c r="E156" s="78" t="n"/>
      <c r="F156" s="78" t="n"/>
      <c r="G156" s="78" t="n"/>
      <c r="H156" s="78" t="n"/>
      <c r="I156" s="78" t="n"/>
      <c r="J156" s="78" t="n"/>
      <c r="K156" s="78" t="n"/>
      <c r="L156" s="78" t="n"/>
      <c r="M156" s="78" t="n"/>
      <c r="N156" s="78" t="n"/>
      <c r="O156" s="78" t="n"/>
      <c r="P156" s="78" t="n"/>
      <c r="Q156" s="78" t="n"/>
      <c r="R156" s="78" t="n"/>
      <c r="S156" s="78" t="n"/>
      <c r="T156" s="78" t="n"/>
      <c r="U156" s="78" t="n"/>
      <c r="V156" s="78" t="n"/>
      <c r="W156" s="78" t="n"/>
      <c r="X156" s="78" t="n"/>
    </row>
    <row r="157" ht="15" customHeight="1" s="150">
      <c r="A157" s="78" t="n"/>
      <c r="B157" s="78" t="n"/>
      <c r="C157" s="78" t="n"/>
      <c r="D157" s="78" t="n"/>
      <c r="E157" s="78" t="n"/>
      <c r="F157" s="78" t="n"/>
      <c r="G157" s="78" t="n"/>
      <c r="H157" s="78" t="n"/>
      <c r="I157" s="78" t="n"/>
      <c r="J157" s="78" t="n"/>
      <c r="K157" s="78" t="n"/>
      <c r="L157" s="78" t="n"/>
      <c r="M157" s="78" t="n"/>
      <c r="N157" s="78" t="n"/>
      <c r="O157" s="78" t="n"/>
      <c r="P157" s="78" t="n"/>
      <c r="Q157" s="78" t="n"/>
      <c r="R157" s="78" t="n"/>
      <c r="S157" s="78" t="n"/>
      <c r="T157" s="78" t="n"/>
      <c r="U157" s="78" t="n"/>
      <c r="V157" s="78" t="n"/>
      <c r="W157" s="78" t="n"/>
      <c r="X157" s="78" t="n"/>
    </row>
    <row r="158" ht="15" customHeight="1" s="150">
      <c r="A158" s="78" t="n"/>
      <c r="B158" s="78" t="n"/>
      <c r="C158" s="78" t="n"/>
      <c r="D158" s="78" t="n"/>
      <c r="E158" s="78" t="n"/>
      <c r="F158" s="78" t="n"/>
      <c r="G158" s="78" t="n"/>
      <c r="H158" s="78" t="n"/>
      <c r="I158" s="78" t="n"/>
      <c r="J158" s="78" t="n"/>
      <c r="K158" s="78" t="n"/>
      <c r="L158" s="78" t="n"/>
      <c r="M158" s="78" t="n"/>
      <c r="N158" s="78" t="n"/>
      <c r="O158" s="78" t="n"/>
      <c r="P158" s="78" t="n"/>
      <c r="Q158" s="78" t="n"/>
      <c r="R158" s="78" t="n"/>
      <c r="S158" s="78" t="n"/>
      <c r="T158" s="78" t="n"/>
      <c r="U158" s="78" t="n"/>
      <c r="V158" s="78" t="n"/>
      <c r="W158" s="78" t="n"/>
      <c r="X158" s="78" t="n"/>
    </row>
    <row r="159" ht="15" customHeight="1" s="150">
      <c r="A159" s="78" t="n"/>
      <c r="B159" s="78" t="n"/>
      <c r="C159" s="78" t="n"/>
      <c r="D159" s="78" t="n"/>
      <c r="E159" s="78" t="n"/>
      <c r="F159" s="78" t="n"/>
      <c r="G159" s="78" t="n"/>
      <c r="H159" s="78" t="n"/>
      <c r="I159" s="78" t="n"/>
      <c r="J159" s="78" t="n"/>
      <c r="K159" s="78" t="n"/>
      <c r="L159" s="78" t="n"/>
      <c r="M159" s="78" t="n"/>
      <c r="N159" s="78" t="n"/>
      <c r="O159" s="78" t="n"/>
      <c r="P159" s="78" t="n"/>
      <c r="Q159" s="78" t="n"/>
      <c r="R159" s="78" t="n"/>
      <c r="S159" s="78" t="n"/>
      <c r="T159" s="78" t="n"/>
      <c r="U159" s="78" t="n"/>
      <c r="V159" s="78" t="n"/>
      <c r="W159" s="78" t="n"/>
      <c r="X159" s="78" t="n"/>
    </row>
    <row r="160" ht="15" customHeight="1" s="150">
      <c r="A160" s="78" t="n"/>
      <c r="B160" s="78" t="n"/>
      <c r="C160" s="78" t="n"/>
      <c r="D160" s="78" t="n"/>
      <c r="E160" s="78" t="n"/>
      <c r="F160" s="78" t="n"/>
      <c r="G160" s="78" t="n"/>
      <c r="H160" s="78" t="n"/>
      <c r="I160" s="78" t="n"/>
      <c r="J160" s="78" t="n"/>
      <c r="K160" s="78" t="n"/>
      <c r="L160" s="78" t="n"/>
      <c r="M160" s="78" t="n"/>
      <c r="N160" s="78" t="n"/>
      <c r="O160" s="78" t="n"/>
      <c r="P160" s="78" t="n"/>
      <c r="Q160" s="78" t="n"/>
      <c r="R160" s="78" t="n"/>
      <c r="S160" s="78" t="n"/>
      <c r="T160" s="78" t="n"/>
      <c r="U160" s="78" t="n"/>
      <c r="V160" s="78" t="n"/>
      <c r="W160" s="78" t="n"/>
      <c r="X160" s="78" t="n"/>
    </row>
    <row r="161" ht="15" customHeight="1" s="150">
      <c r="A161" s="78" t="n"/>
      <c r="B161" s="78" t="n"/>
      <c r="C161" s="78" t="n"/>
      <c r="D161" s="78" t="n"/>
      <c r="E161" s="78" t="n"/>
      <c r="F161" s="78" t="n"/>
      <c r="G161" s="78" t="n"/>
      <c r="H161" s="78" t="n"/>
      <c r="I161" s="78" t="n"/>
      <c r="J161" s="78" t="n"/>
      <c r="K161" s="78" t="n"/>
      <c r="L161" s="78" t="n"/>
      <c r="M161" s="78" t="n"/>
      <c r="N161" s="78" t="n"/>
      <c r="O161" s="78" t="n"/>
      <c r="P161" s="78" t="n"/>
      <c r="Q161" s="78" t="n"/>
      <c r="R161" s="78" t="n"/>
      <c r="S161" s="78" t="n"/>
      <c r="T161" s="78" t="n"/>
      <c r="U161" s="78" t="n"/>
      <c r="V161" s="78" t="n"/>
      <c r="W161" s="78" t="n"/>
      <c r="X161" s="78" t="n"/>
    </row>
    <row r="162" ht="15" customHeight="1" s="150">
      <c r="A162" s="78" t="n"/>
      <c r="B162" s="78" t="n"/>
      <c r="C162" s="78" t="n"/>
      <c r="D162" s="78" t="n"/>
      <c r="E162" s="78" t="n"/>
      <c r="F162" s="78" t="n"/>
      <c r="G162" s="78" t="n"/>
      <c r="H162" s="78" t="n"/>
      <c r="I162" s="78" t="n"/>
      <c r="J162" s="78" t="n"/>
      <c r="K162" s="78" t="n"/>
      <c r="L162" s="78" t="n"/>
      <c r="M162" s="78" t="n"/>
      <c r="N162" s="78" t="n"/>
      <c r="O162" s="78" t="n"/>
      <c r="P162" s="78" t="n"/>
      <c r="Q162" s="78" t="n"/>
      <c r="R162" s="78" t="n"/>
      <c r="S162" s="78" t="n"/>
      <c r="T162" s="78" t="n"/>
      <c r="U162" s="78" t="n"/>
      <c r="V162" s="78" t="n"/>
      <c r="W162" s="78" t="n"/>
      <c r="X162" s="78" t="n"/>
    </row>
    <row r="163" ht="15" customHeight="1" s="150">
      <c r="A163" s="78" t="n"/>
      <c r="B163" s="78" t="n"/>
      <c r="C163" s="78" t="n"/>
      <c r="D163" s="78" t="n"/>
      <c r="E163" s="78" t="n"/>
      <c r="F163" s="78" t="n"/>
      <c r="G163" s="78" t="n"/>
      <c r="H163" s="78" t="n"/>
      <c r="I163" s="78" t="n"/>
      <c r="J163" s="78" t="n"/>
      <c r="K163" s="78" t="n"/>
      <c r="L163" s="78" t="n"/>
      <c r="M163" s="78" t="n"/>
      <c r="N163" s="78" t="n"/>
      <c r="O163" s="78" t="n"/>
      <c r="P163" s="78" t="n"/>
      <c r="Q163" s="78" t="n"/>
      <c r="R163" s="78" t="n"/>
      <c r="S163" s="78" t="n"/>
      <c r="T163" s="78" t="n"/>
      <c r="U163" s="78" t="n"/>
      <c r="V163" s="78" t="n"/>
      <c r="W163" s="78" t="n"/>
      <c r="X163" s="78" t="n"/>
    </row>
    <row r="164" ht="15" customHeight="1" s="150">
      <c r="A164" s="78" t="n"/>
      <c r="B164" s="78" t="n"/>
      <c r="C164" s="78" t="n"/>
      <c r="D164" s="78" t="n"/>
      <c r="E164" s="78" t="n"/>
      <c r="F164" s="78" t="n"/>
      <c r="G164" s="78" t="n"/>
      <c r="H164" s="78" t="n"/>
      <c r="I164" s="78" t="n"/>
      <c r="J164" s="78" t="n"/>
      <c r="K164" s="78" t="n"/>
      <c r="L164" s="78" t="n"/>
      <c r="M164" s="78" t="n"/>
      <c r="N164" s="78" t="n"/>
      <c r="O164" s="78" t="n"/>
      <c r="P164" s="78" t="n"/>
      <c r="Q164" s="78" t="n"/>
      <c r="R164" s="78" t="n"/>
      <c r="S164" s="78" t="n"/>
      <c r="T164" s="78" t="n"/>
      <c r="U164" s="78" t="n"/>
      <c r="V164" s="78" t="n"/>
      <c r="W164" s="78" t="n"/>
      <c r="X164" s="78" t="n"/>
    </row>
    <row r="165" ht="15" customHeight="1" s="150">
      <c r="A165" s="78" t="n"/>
      <c r="B165" s="78" t="n"/>
      <c r="C165" s="78" t="n"/>
      <c r="D165" s="78" t="n"/>
      <c r="E165" s="78" t="n"/>
      <c r="F165" s="78" t="n"/>
      <c r="G165" s="78" t="n"/>
      <c r="H165" s="78" t="n"/>
      <c r="I165" s="78" t="n"/>
      <c r="J165" s="78" t="n"/>
      <c r="K165" s="78" t="n"/>
      <c r="L165" s="78" t="n"/>
      <c r="M165" s="78" t="n"/>
      <c r="N165" s="78" t="n"/>
      <c r="O165" s="78" t="n"/>
      <c r="P165" s="78" t="n"/>
      <c r="Q165" s="78" t="n"/>
      <c r="R165" s="78" t="n"/>
      <c r="S165" s="78" t="n"/>
      <c r="T165" s="78" t="n"/>
      <c r="U165" s="78" t="n"/>
      <c r="V165" s="78" t="n"/>
      <c r="W165" s="78" t="n"/>
      <c r="X165" s="78" t="n"/>
    </row>
    <row r="166" ht="15" customHeight="1" s="150">
      <c r="A166" s="78" t="n"/>
      <c r="B166" s="78" t="n"/>
      <c r="C166" s="78" t="n"/>
      <c r="D166" s="78" t="n"/>
      <c r="E166" s="78" t="n"/>
      <c r="F166" s="78" t="n"/>
      <c r="G166" s="78" t="n"/>
      <c r="H166" s="78" t="n"/>
      <c r="I166" s="78" t="n"/>
      <c r="J166" s="78" t="n"/>
      <c r="K166" s="78" t="n"/>
      <c r="L166" s="78" t="n"/>
      <c r="M166" s="78" t="n"/>
      <c r="N166" s="78" t="n"/>
      <c r="O166" s="78" t="n"/>
      <c r="P166" s="78" t="n"/>
      <c r="Q166" s="78" t="n"/>
      <c r="R166" s="78" t="n"/>
      <c r="S166" s="78" t="n"/>
      <c r="T166" s="78" t="n"/>
      <c r="U166" s="78" t="n"/>
      <c r="V166" s="78" t="n"/>
      <c r="W166" s="78" t="n"/>
      <c r="X166" s="78" t="n"/>
    </row>
    <row r="167" ht="15" customHeight="1" s="150">
      <c r="A167" s="78" t="n"/>
      <c r="B167" s="78" t="n"/>
      <c r="C167" s="78" t="n"/>
      <c r="D167" s="78" t="n"/>
      <c r="E167" s="78" t="n"/>
      <c r="F167" s="78" t="n"/>
      <c r="G167" s="78" t="n"/>
      <c r="H167" s="78" t="n"/>
      <c r="I167" s="78" t="n"/>
      <c r="J167" s="78" t="n"/>
      <c r="K167" s="78" t="n"/>
      <c r="L167" s="78" t="n"/>
      <c r="M167" s="78" t="n"/>
      <c r="N167" s="78" t="n"/>
      <c r="O167" s="78" t="n"/>
      <c r="P167" s="78" t="n"/>
      <c r="Q167" s="78" t="n"/>
      <c r="R167" s="78" t="n"/>
      <c r="S167" s="78" t="n"/>
      <c r="T167" s="78" t="n"/>
      <c r="U167" s="78" t="n"/>
      <c r="V167" s="78" t="n"/>
      <c r="W167" s="78" t="n"/>
      <c r="X167" s="78" t="n"/>
    </row>
    <row r="168" ht="15" customHeight="1" s="150">
      <c r="A168" s="78" t="n"/>
      <c r="B168" s="78" t="n"/>
      <c r="C168" s="78" t="n"/>
      <c r="D168" s="78" t="n"/>
      <c r="E168" s="78" t="n"/>
      <c r="F168" s="78" t="n"/>
      <c r="G168" s="78" t="n"/>
      <c r="H168" s="78" t="n"/>
      <c r="I168" s="78" t="n"/>
      <c r="J168" s="78" t="n"/>
      <c r="K168" s="78" t="n"/>
      <c r="L168" s="78" t="n"/>
      <c r="M168" s="78" t="n"/>
      <c r="N168" s="78" t="n"/>
      <c r="O168" s="78" t="n"/>
      <c r="P168" s="78" t="n"/>
      <c r="Q168" s="78" t="n"/>
      <c r="R168" s="78" t="n"/>
      <c r="S168" s="78" t="n"/>
      <c r="T168" s="78" t="n"/>
      <c r="U168" s="78" t="n"/>
      <c r="V168" s="78" t="n"/>
      <c r="W168" s="78" t="n"/>
      <c r="X168" s="78" t="n"/>
    </row>
    <row r="169" ht="15" customHeight="1" s="150">
      <c r="A169" s="78" t="n"/>
      <c r="B169" s="78" t="n"/>
      <c r="C169" s="78" t="n"/>
      <c r="D169" s="78" t="n"/>
      <c r="E169" s="78" t="n"/>
      <c r="F169" s="78" t="n"/>
      <c r="G169" s="78" t="n"/>
      <c r="H169" s="78" t="n"/>
      <c r="I169" s="78" t="n"/>
      <c r="J169" s="78" t="n"/>
      <c r="K169" s="78" t="n"/>
      <c r="L169" s="78" t="n"/>
      <c r="M169" s="78" t="n"/>
      <c r="N169" s="78" t="n"/>
      <c r="O169" s="78" t="n"/>
      <c r="P169" s="78" t="n"/>
      <c r="Q169" s="78" t="n"/>
      <c r="R169" s="78" t="n"/>
      <c r="S169" s="78" t="n"/>
      <c r="T169" s="78" t="n"/>
      <c r="U169" s="78" t="n"/>
      <c r="V169" s="78" t="n"/>
      <c r="W169" s="78" t="n"/>
      <c r="X169" s="78" t="n"/>
    </row>
    <row r="170" ht="15" customHeight="1" s="150">
      <c r="A170" s="78" t="n"/>
      <c r="B170" s="78" t="n"/>
      <c r="C170" s="78" t="n"/>
      <c r="D170" s="78" t="n"/>
      <c r="E170" s="78" t="n"/>
      <c r="F170" s="78" t="n"/>
      <c r="G170" s="78" t="n"/>
      <c r="H170" s="78" t="n"/>
      <c r="I170" s="78" t="n"/>
      <c r="J170" s="78" t="n"/>
      <c r="K170" s="78" t="n"/>
      <c r="L170" s="78" t="n"/>
      <c r="M170" s="78" t="n"/>
      <c r="N170" s="78" t="n"/>
      <c r="O170" s="78" t="n"/>
      <c r="P170" s="78" t="n"/>
      <c r="Q170" s="78" t="n"/>
      <c r="R170" s="78" t="n"/>
      <c r="S170" s="78" t="n"/>
      <c r="T170" s="78" t="n"/>
      <c r="U170" s="78" t="n"/>
      <c r="V170" s="78" t="n"/>
      <c r="W170" s="78" t="n"/>
      <c r="X170" s="78" t="n"/>
    </row>
    <row r="171" ht="15" customHeight="1" s="150">
      <c r="A171" s="78" t="n"/>
      <c r="B171" s="78" t="n"/>
      <c r="C171" s="78" t="n"/>
      <c r="D171" s="78" t="n"/>
      <c r="E171" s="78" t="n"/>
      <c r="F171" s="78" t="n"/>
      <c r="G171" s="78" t="n"/>
      <c r="H171" s="78" t="n"/>
      <c r="I171" s="78" t="n"/>
      <c r="J171" s="78" t="n"/>
      <c r="K171" s="78" t="n"/>
      <c r="L171" s="78" t="n"/>
      <c r="M171" s="78" t="n"/>
      <c r="N171" s="78" t="n"/>
      <c r="O171" s="78" t="n"/>
      <c r="P171" s="78" t="n"/>
      <c r="Q171" s="78" t="n"/>
      <c r="R171" s="78" t="n"/>
      <c r="S171" s="78" t="n"/>
      <c r="T171" s="78" t="n"/>
      <c r="U171" s="78" t="n"/>
      <c r="V171" s="78" t="n"/>
      <c r="W171" s="78" t="n"/>
      <c r="X171" s="78" t="n"/>
    </row>
    <row r="172" ht="15" customHeight="1" s="150">
      <c r="A172" s="78" t="n"/>
      <c r="B172" s="78" t="n"/>
      <c r="C172" s="78" t="n"/>
      <c r="D172" s="78" t="n"/>
      <c r="E172" s="78" t="n"/>
      <c r="F172" s="78" t="n"/>
      <c r="G172" s="78" t="n"/>
      <c r="H172" s="78" t="n"/>
      <c r="I172" s="78" t="n"/>
      <c r="J172" s="78" t="n"/>
      <c r="K172" s="78" t="n"/>
      <c r="L172" s="78" t="n"/>
      <c r="M172" s="78" t="n"/>
      <c r="N172" s="78" t="n"/>
      <c r="O172" s="78" t="n"/>
      <c r="P172" s="78" t="n"/>
      <c r="Q172" s="78" t="n"/>
      <c r="R172" s="78" t="n"/>
      <c r="S172" s="78" t="n"/>
      <c r="T172" s="78" t="n"/>
      <c r="U172" s="78" t="n"/>
      <c r="V172" s="78" t="n"/>
      <c r="W172" s="78" t="n"/>
      <c r="X172" s="78" t="n"/>
    </row>
    <row r="173" ht="15" customHeight="1" s="150">
      <c r="A173" s="78" t="n"/>
      <c r="B173" s="78" t="n"/>
      <c r="C173" s="78" t="n"/>
      <c r="D173" s="78" t="n"/>
      <c r="E173" s="78" t="n"/>
      <c r="F173" s="78" t="n"/>
      <c r="G173" s="78" t="n"/>
      <c r="H173" s="78" t="n"/>
      <c r="I173" s="78" t="n"/>
      <c r="J173" s="78" t="n"/>
      <c r="K173" s="78" t="n"/>
      <c r="L173" s="78" t="n"/>
      <c r="M173" s="78" t="n"/>
      <c r="N173" s="78" t="n"/>
      <c r="O173" s="78" t="n"/>
      <c r="P173" s="78" t="n"/>
      <c r="Q173" s="78" t="n"/>
      <c r="R173" s="78" t="n"/>
      <c r="S173" s="78" t="n"/>
      <c r="T173" s="78" t="n"/>
      <c r="U173" s="78" t="n"/>
      <c r="V173" s="78" t="n"/>
      <c r="W173" s="78" t="n"/>
      <c r="X173" s="78" t="n"/>
    </row>
    <row r="174" ht="15" customHeight="1" s="150">
      <c r="A174" s="78" t="n"/>
      <c r="B174" s="78" t="n"/>
      <c r="C174" s="78" t="n"/>
      <c r="D174" s="78" t="n"/>
      <c r="E174" s="78" t="n"/>
      <c r="F174" s="78" t="n"/>
      <c r="G174" s="78" t="n"/>
      <c r="H174" s="78" t="n"/>
      <c r="I174" s="78" t="n"/>
      <c r="J174" s="78" t="n"/>
      <c r="K174" s="78" t="n"/>
      <c r="L174" s="78" t="n"/>
      <c r="M174" s="78" t="n"/>
      <c r="N174" s="78" t="n"/>
      <c r="O174" s="78" t="n"/>
      <c r="P174" s="78" t="n"/>
      <c r="Q174" s="78" t="n"/>
      <c r="R174" s="78" t="n"/>
      <c r="S174" s="78" t="n"/>
      <c r="T174" s="78" t="n"/>
      <c r="U174" s="78" t="n"/>
      <c r="V174" s="78" t="n"/>
      <c r="W174" s="78" t="n"/>
      <c r="X174" s="78" t="n"/>
    </row>
    <row r="175" ht="15" customHeight="1" s="150">
      <c r="A175" s="78" t="n"/>
      <c r="B175" s="78" t="n"/>
      <c r="C175" s="78" t="n"/>
      <c r="D175" s="78" t="n"/>
      <c r="E175" s="78" t="n"/>
      <c r="F175" s="78" t="n"/>
      <c r="G175" s="78" t="n"/>
      <c r="H175" s="78" t="n"/>
      <c r="I175" s="78" t="n"/>
      <c r="J175" s="78" t="n"/>
      <c r="K175" s="78" t="n"/>
      <c r="L175" s="78" t="n"/>
      <c r="M175" s="78" t="n"/>
      <c r="N175" s="78" t="n"/>
      <c r="O175" s="78" t="n"/>
      <c r="P175" s="78" t="n"/>
      <c r="Q175" s="78" t="n"/>
      <c r="R175" s="78" t="n"/>
      <c r="S175" s="78" t="n"/>
      <c r="T175" s="78" t="n"/>
      <c r="U175" s="78" t="n"/>
      <c r="V175" s="78" t="n"/>
      <c r="W175" s="78" t="n"/>
      <c r="X175" s="78" t="n"/>
    </row>
    <row r="176" ht="15" customHeight="1" s="150">
      <c r="A176" s="78" t="n"/>
      <c r="B176" s="78" t="n"/>
      <c r="C176" s="78" t="n"/>
      <c r="D176" s="78" t="n"/>
      <c r="E176" s="78" t="n"/>
      <c r="F176" s="78" t="n"/>
      <c r="G176" s="78" t="n"/>
      <c r="H176" s="78" t="n"/>
      <c r="I176" s="78" t="n"/>
      <c r="J176" s="78" t="n"/>
      <c r="K176" s="78" t="n"/>
      <c r="L176" s="78" t="n"/>
      <c r="M176" s="78" t="n"/>
      <c r="N176" s="78" t="n"/>
      <c r="O176" s="78" t="n"/>
      <c r="P176" s="78" t="n"/>
      <c r="Q176" s="78" t="n"/>
      <c r="R176" s="78" t="n"/>
      <c r="S176" s="78" t="n"/>
      <c r="T176" s="78" t="n"/>
      <c r="U176" s="78" t="n"/>
      <c r="V176" s="78" t="n"/>
      <c r="W176" s="78" t="n"/>
      <c r="X176" s="78" t="n"/>
    </row>
    <row r="177" ht="15" customHeight="1" s="150">
      <c r="A177" s="78" t="n"/>
      <c r="B177" s="78" t="n"/>
      <c r="C177" s="78" t="n"/>
      <c r="D177" s="78" t="n"/>
      <c r="E177" s="78" t="n"/>
      <c r="F177" s="78" t="n"/>
      <c r="G177" s="78" t="n"/>
      <c r="H177" s="78" t="n"/>
      <c r="I177" s="78" t="n"/>
      <c r="J177" s="78" t="n"/>
      <c r="K177" s="78" t="n"/>
      <c r="L177" s="78" t="n"/>
      <c r="M177" s="78" t="n"/>
      <c r="N177" s="78" t="n"/>
      <c r="O177" s="78" t="n"/>
      <c r="P177" s="78" t="n"/>
      <c r="Q177" s="78" t="n"/>
      <c r="R177" s="78" t="n"/>
      <c r="S177" s="78" t="n"/>
      <c r="T177" s="78" t="n"/>
      <c r="U177" s="78" t="n"/>
      <c r="V177" s="78" t="n"/>
      <c r="W177" s="78" t="n"/>
      <c r="X177" s="78" t="n"/>
    </row>
    <row r="178" ht="15" customHeight="1" s="150">
      <c r="A178" s="78" t="n"/>
      <c r="B178" s="78" t="n"/>
      <c r="C178" s="78" t="n"/>
      <c r="D178" s="78" t="n"/>
      <c r="E178" s="78" t="n"/>
      <c r="F178" s="78" t="n"/>
      <c r="G178" s="78" t="n"/>
      <c r="H178" s="78" t="n"/>
      <c r="I178" s="78" t="n"/>
      <c r="J178" s="78" t="n"/>
      <c r="K178" s="78" t="n"/>
      <c r="L178" s="78" t="n"/>
      <c r="M178" s="78" t="n"/>
      <c r="N178" s="78" t="n"/>
      <c r="O178" s="78" t="n"/>
      <c r="P178" s="78" t="n"/>
      <c r="Q178" s="78" t="n"/>
      <c r="R178" s="78" t="n"/>
      <c r="S178" s="78" t="n"/>
      <c r="T178" s="78" t="n"/>
      <c r="U178" s="78" t="n"/>
      <c r="V178" s="78" t="n"/>
      <c r="W178" s="78" t="n"/>
      <c r="X178" s="78" t="n"/>
    </row>
    <row r="179" ht="15" customHeight="1" s="150">
      <c r="A179" s="78" t="n"/>
      <c r="B179" s="78" t="n"/>
      <c r="C179" s="78" t="n"/>
      <c r="D179" s="78" t="n"/>
      <c r="E179" s="78" t="n"/>
      <c r="F179" s="78" t="n"/>
      <c r="G179" s="78" t="n"/>
      <c r="H179" s="78" t="n"/>
      <c r="I179" s="78" t="n"/>
      <c r="J179" s="78" t="n"/>
      <c r="K179" s="78" t="n"/>
      <c r="L179" s="78" t="n"/>
      <c r="M179" s="78" t="n"/>
      <c r="N179" s="78" t="n"/>
      <c r="O179" s="78" t="n"/>
      <c r="P179" s="78" t="n"/>
      <c r="Q179" s="78" t="n"/>
      <c r="R179" s="78" t="n"/>
      <c r="S179" s="78" t="n"/>
      <c r="T179" s="78" t="n"/>
      <c r="U179" s="78" t="n"/>
      <c r="V179" s="78" t="n"/>
      <c r="W179" s="78" t="n"/>
      <c r="X179" s="78" t="n"/>
    </row>
    <row r="180" ht="15" customHeight="1" s="150">
      <c r="A180" s="78" t="n"/>
      <c r="B180" s="78" t="n"/>
      <c r="C180" s="78" t="n"/>
      <c r="D180" s="78" t="n"/>
      <c r="E180" s="78" t="n"/>
      <c r="F180" s="78" t="n"/>
      <c r="G180" s="78" t="n"/>
      <c r="H180" s="78" t="n"/>
      <c r="I180" s="78" t="n"/>
      <c r="J180" s="78" t="n"/>
      <c r="K180" s="78" t="n"/>
      <c r="L180" s="78" t="n"/>
      <c r="M180" s="78" t="n"/>
      <c r="N180" s="78" t="n"/>
      <c r="O180" s="78" t="n"/>
      <c r="P180" s="78" t="n"/>
      <c r="Q180" s="78" t="n"/>
      <c r="R180" s="78" t="n"/>
      <c r="S180" s="78" t="n"/>
      <c r="T180" s="78" t="n"/>
      <c r="U180" s="78" t="n"/>
      <c r="V180" s="78" t="n"/>
      <c r="W180" s="78" t="n"/>
      <c r="X180" s="78" t="n"/>
    </row>
    <row r="181" ht="15" customHeight="1" s="150">
      <c r="A181" s="78" t="n"/>
      <c r="B181" s="78" t="n"/>
      <c r="C181" s="78" t="n"/>
      <c r="D181" s="78" t="n"/>
      <c r="E181" s="78" t="n"/>
      <c r="F181" s="78" t="n"/>
      <c r="G181" s="78" t="n"/>
      <c r="H181" s="78" t="n"/>
      <c r="I181" s="78" t="n"/>
      <c r="J181" s="78" t="n"/>
      <c r="K181" s="78" t="n"/>
      <c r="L181" s="78" t="n"/>
      <c r="M181" s="78" t="n"/>
      <c r="N181" s="78" t="n"/>
      <c r="O181" s="78" t="n"/>
      <c r="P181" s="78" t="n"/>
      <c r="Q181" s="78" t="n"/>
      <c r="R181" s="78" t="n"/>
      <c r="S181" s="78" t="n"/>
      <c r="T181" s="78" t="n"/>
      <c r="U181" s="78" t="n"/>
      <c r="V181" s="78" t="n"/>
      <c r="W181" s="78" t="n"/>
      <c r="X181" s="78" t="n"/>
    </row>
    <row r="182" ht="15" customHeight="1" s="150">
      <c r="A182" s="78" t="n"/>
      <c r="B182" s="78" t="n"/>
      <c r="C182" s="78" t="n"/>
      <c r="D182" s="78" t="n"/>
      <c r="E182" s="78" t="n"/>
      <c r="F182" s="78" t="n"/>
      <c r="G182" s="78" t="n"/>
      <c r="H182" s="78" t="n"/>
      <c r="I182" s="78" t="n"/>
      <c r="J182" s="78" t="n"/>
      <c r="K182" s="78" t="n"/>
      <c r="L182" s="78" t="n"/>
      <c r="M182" s="78" t="n"/>
      <c r="N182" s="78" t="n"/>
      <c r="O182" s="78" t="n"/>
      <c r="P182" s="78" t="n"/>
      <c r="Q182" s="78" t="n"/>
      <c r="R182" s="78" t="n"/>
      <c r="S182" s="78" t="n"/>
      <c r="T182" s="78" t="n"/>
      <c r="U182" s="78" t="n"/>
      <c r="V182" s="78" t="n"/>
      <c r="W182" s="78" t="n"/>
      <c r="X182" s="78" t="n"/>
    </row>
    <row r="183" ht="15" customHeight="1" s="150">
      <c r="A183" s="78" t="n"/>
      <c r="B183" s="78" t="n"/>
      <c r="C183" s="78" t="n"/>
      <c r="D183" s="78" t="n"/>
      <c r="E183" s="78" t="n"/>
      <c r="F183" s="78" t="n"/>
      <c r="G183" s="78" t="n"/>
      <c r="H183" s="78" t="n"/>
      <c r="I183" s="78" t="n"/>
      <c r="J183" s="78" t="n"/>
      <c r="K183" s="78" t="n"/>
      <c r="L183" s="78" t="n"/>
      <c r="M183" s="78" t="n"/>
      <c r="N183" s="78" t="n"/>
      <c r="O183" s="78" t="n"/>
      <c r="P183" s="78" t="n"/>
      <c r="Q183" s="78" t="n"/>
      <c r="R183" s="78" t="n"/>
      <c r="S183" s="78" t="n"/>
      <c r="T183" s="78" t="n"/>
      <c r="U183" s="78" t="n"/>
      <c r="V183" s="78" t="n"/>
      <c r="W183" s="78" t="n"/>
      <c r="X183" s="78" t="n"/>
    </row>
    <row r="184" ht="15" customHeight="1" s="150">
      <c r="A184" s="78" t="n"/>
      <c r="B184" s="78" t="n"/>
      <c r="C184" s="78" t="n"/>
      <c r="D184" s="78" t="n"/>
      <c r="E184" s="78" t="n"/>
      <c r="F184" s="78" t="n"/>
      <c r="G184" s="78" t="n"/>
      <c r="H184" s="78" t="n"/>
      <c r="I184" s="78" t="n"/>
      <c r="J184" s="78" t="n"/>
      <c r="K184" s="78" t="n"/>
      <c r="L184" s="78" t="n"/>
      <c r="M184" s="78" t="n"/>
      <c r="N184" s="78" t="n"/>
      <c r="O184" s="78" t="n"/>
      <c r="P184" s="78" t="n"/>
      <c r="Q184" s="78" t="n"/>
      <c r="R184" s="78" t="n"/>
      <c r="S184" s="78" t="n"/>
      <c r="T184" s="78" t="n"/>
      <c r="U184" s="78" t="n"/>
      <c r="V184" s="78" t="n"/>
      <c r="W184" s="78" t="n"/>
      <c r="X184" s="78" t="n"/>
    </row>
    <row r="185" ht="15" customHeight="1" s="150">
      <c r="A185" s="78" t="n"/>
      <c r="B185" s="78" t="n"/>
      <c r="C185" s="78" t="n"/>
      <c r="D185" s="78" t="n"/>
      <c r="E185" s="78" t="n"/>
      <c r="F185" s="78" t="n"/>
      <c r="G185" s="78" t="n"/>
      <c r="H185" s="78" t="n"/>
      <c r="I185" s="78" t="n"/>
      <c r="J185" s="78" t="n"/>
      <c r="K185" s="78" t="n"/>
      <c r="L185" s="78" t="n"/>
      <c r="M185" s="78" t="n"/>
      <c r="N185" s="78" t="n"/>
      <c r="O185" s="78" t="n"/>
      <c r="P185" s="78" t="n"/>
      <c r="Q185" s="78" t="n"/>
      <c r="R185" s="78" t="n"/>
      <c r="S185" s="78" t="n"/>
      <c r="T185" s="78" t="n"/>
      <c r="U185" s="78" t="n"/>
      <c r="V185" s="78" t="n"/>
      <c r="W185" s="78" t="n"/>
      <c r="X185" s="78" t="n"/>
    </row>
    <row r="186" ht="15" customHeight="1" s="150">
      <c r="A186" s="78" t="n"/>
      <c r="B186" s="78" t="n"/>
      <c r="C186" s="78" t="n"/>
      <c r="D186" s="78" t="n"/>
      <c r="E186" s="78" t="n"/>
      <c r="F186" s="78" t="n"/>
      <c r="G186" s="78" t="n"/>
      <c r="H186" s="78" t="n"/>
      <c r="I186" s="78" t="n"/>
      <c r="J186" s="78" t="n"/>
      <c r="K186" s="78" t="n"/>
      <c r="L186" s="78" t="n"/>
      <c r="M186" s="78" t="n"/>
      <c r="N186" s="78" t="n"/>
      <c r="O186" s="78" t="n"/>
      <c r="P186" s="78" t="n"/>
      <c r="Q186" s="78" t="n"/>
      <c r="R186" s="78" t="n"/>
      <c r="S186" s="78" t="n"/>
      <c r="T186" s="78" t="n"/>
      <c r="U186" s="78" t="n"/>
      <c r="V186" s="78" t="n"/>
      <c r="W186" s="78" t="n"/>
      <c r="X186" s="78" t="n"/>
    </row>
    <row r="187" ht="15" customHeight="1" s="150">
      <c r="A187" s="78" t="n"/>
      <c r="B187" s="78" t="n"/>
      <c r="C187" s="78" t="n"/>
      <c r="D187" s="78" t="n"/>
      <c r="E187" s="78" t="n"/>
      <c r="F187" s="78" t="n"/>
      <c r="G187" s="78" t="n"/>
      <c r="H187" s="78" t="n"/>
      <c r="I187" s="78" t="n"/>
      <c r="J187" s="78" t="n"/>
      <c r="K187" s="78" t="n"/>
      <c r="L187" s="78" t="n"/>
      <c r="M187" s="78" t="n"/>
      <c r="N187" s="78" t="n"/>
      <c r="O187" s="78" t="n"/>
      <c r="P187" s="78" t="n"/>
      <c r="Q187" s="78" t="n"/>
      <c r="R187" s="78" t="n"/>
      <c r="S187" s="78" t="n"/>
      <c r="T187" s="78" t="n"/>
      <c r="U187" s="78" t="n"/>
      <c r="V187" s="78" t="n"/>
      <c r="W187" s="78" t="n"/>
      <c r="X187" s="78" t="n"/>
    </row>
    <row r="188" ht="15" customHeight="1" s="150">
      <c r="A188" s="78" t="n"/>
      <c r="B188" s="78" t="n"/>
      <c r="C188" s="78" t="n"/>
      <c r="D188" s="78" t="n"/>
      <c r="E188" s="78" t="n"/>
      <c r="F188" s="78" t="n"/>
      <c r="G188" s="78" t="n"/>
      <c r="H188" s="78" t="n"/>
      <c r="I188" s="78" t="n"/>
      <c r="J188" s="78" t="n"/>
      <c r="K188" s="78" t="n"/>
      <c r="L188" s="78" t="n"/>
      <c r="M188" s="78" t="n"/>
      <c r="N188" s="78" t="n"/>
      <c r="O188" s="78" t="n"/>
      <c r="P188" s="78" t="n"/>
      <c r="Q188" s="78" t="n"/>
      <c r="R188" s="78" t="n"/>
      <c r="S188" s="78" t="n"/>
      <c r="T188" s="78" t="n"/>
      <c r="U188" s="78" t="n"/>
      <c r="V188" s="78" t="n"/>
      <c r="W188" s="78" t="n"/>
      <c r="X188" s="78" t="n"/>
    </row>
    <row r="189" ht="15" customHeight="1" s="150">
      <c r="A189" s="78" t="n"/>
      <c r="B189" s="78" t="n"/>
      <c r="C189" s="78" t="n"/>
      <c r="D189" s="78" t="n"/>
      <c r="E189" s="78" t="n"/>
      <c r="F189" s="78" t="n"/>
      <c r="G189" s="78" t="n"/>
      <c r="H189" s="78" t="n"/>
      <c r="I189" s="78" t="n"/>
      <c r="J189" s="78" t="n"/>
      <c r="K189" s="78" t="n"/>
      <c r="L189" s="78" t="n"/>
      <c r="M189" s="78" t="n"/>
      <c r="N189" s="78" t="n"/>
      <c r="O189" s="78" t="n"/>
      <c r="P189" s="78" t="n"/>
      <c r="Q189" s="78" t="n"/>
      <c r="R189" s="78" t="n"/>
      <c r="S189" s="78" t="n"/>
      <c r="T189" s="78" t="n"/>
      <c r="U189" s="78" t="n"/>
      <c r="V189" s="78" t="n"/>
      <c r="W189" s="78" t="n"/>
      <c r="X189" s="78" t="n"/>
    </row>
    <row r="190" ht="15" customHeight="1" s="150">
      <c r="A190" s="78" t="n"/>
      <c r="B190" s="78" t="n"/>
      <c r="C190" s="78" t="n"/>
      <c r="D190" s="78" t="n"/>
      <c r="E190" s="78" t="n"/>
      <c r="F190" s="78" t="n"/>
      <c r="G190" s="78" t="n"/>
      <c r="H190" s="78" t="n"/>
      <c r="I190" s="78" t="n"/>
      <c r="J190" s="78" t="n"/>
      <c r="K190" s="78" t="n"/>
      <c r="L190" s="78" t="n"/>
      <c r="M190" s="78" t="n"/>
      <c r="N190" s="78" t="n"/>
      <c r="O190" s="78" t="n"/>
      <c r="P190" s="78" t="n"/>
      <c r="Q190" s="78" t="n"/>
      <c r="R190" s="78" t="n"/>
      <c r="S190" s="78" t="n"/>
      <c r="T190" s="78" t="n"/>
      <c r="U190" s="78" t="n"/>
      <c r="V190" s="78" t="n"/>
      <c r="W190" s="78" t="n"/>
      <c r="X190" s="78" t="n"/>
    </row>
    <row r="191" ht="15" customHeight="1" s="150">
      <c r="A191" s="78" t="n"/>
      <c r="B191" s="78" t="n"/>
      <c r="C191" s="78" t="n"/>
      <c r="D191" s="78" t="n"/>
      <c r="E191" s="78" t="n"/>
      <c r="F191" s="78" t="n"/>
      <c r="G191" s="78" t="n"/>
      <c r="H191" s="78" t="n"/>
      <c r="I191" s="78" t="n"/>
      <c r="J191" s="78" t="n"/>
      <c r="K191" s="78" t="n"/>
      <c r="L191" s="78" t="n"/>
      <c r="M191" s="78" t="n"/>
      <c r="N191" s="78" t="n"/>
      <c r="O191" s="78" t="n"/>
      <c r="P191" s="78" t="n"/>
      <c r="Q191" s="78" t="n"/>
      <c r="R191" s="78" t="n"/>
      <c r="S191" s="78" t="n"/>
      <c r="T191" s="78" t="n"/>
      <c r="U191" s="78" t="n"/>
      <c r="V191" s="78" t="n"/>
      <c r="W191" s="78" t="n"/>
      <c r="X191" s="78" t="n"/>
    </row>
    <row r="192" ht="15" customHeight="1" s="150">
      <c r="A192" s="78" t="n"/>
      <c r="B192" s="78" t="n"/>
      <c r="C192" s="78" t="n"/>
      <c r="D192" s="78" t="n"/>
      <c r="E192" s="78" t="n"/>
      <c r="F192" s="78" t="n"/>
      <c r="G192" s="78" t="n"/>
      <c r="H192" s="78" t="n"/>
      <c r="I192" s="78" t="n"/>
      <c r="J192" s="78" t="n"/>
      <c r="K192" s="78" t="n"/>
      <c r="L192" s="78" t="n"/>
      <c r="M192" s="78" t="n"/>
      <c r="N192" s="78" t="n"/>
      <c r="O192" s="78" t="n"/>
      <c r="P192" s="78" t="n"/>
      <c r="Q192" s="78" t="n"/>
      <c r="R192" s="78" t="n"/>
      <c r="S192" s="78" t="n"/>
      <c r="T192" s="78" t="n"/>
      <c r="U192" s="78" t="n"/>
      <c r="V192" s="78" t="n"/>
      <c r="W192" s="78" t="n"/>
      <c r="X192" s="78" t="n"/>
    </row>
    <row r="193" ht="15" customHeight="1" s="150">
      <c r="A193" s="78" t="n"/>
      <c r="B193" s="78" t="n"/>
      <c r="C193" s="78" t="n"/>
      <c r="D193" s="78" t="n"/>
      <c r="E193" s="78" t="n"/>
      <c r="F193" s="78" t="n"/>
      <c r="G193" s="78" t="n"/>
      <c r="H193" s="78" t="n"/>
      <c r="I193" s="78" t="n"/>
      <c r="J193" s="78" t="n"/>
      <c r="K193" s="78" t="n"/>
      <c r="L193" s="78" t="n"/>
      <c r="M193" s="78" t="n"/>
      <c r="N193" s="78" t="n"/>
      <c r="O193" s="78" t="n"/>
      <c r="P193" s="78" t="n"/>
      <c r="Q193" s="78" t="n"/>
      <c r="R193" s="78" t="n"/>
      <c r="S193" s="78" t="n"/>
      <c r="T193" s="78" t="n"/>
      <c r="U193" s="78" t="n"/>
      <c r="V193" s="78" t="n"/>
      <c r="W193" s="78" t="n"/>
      <c r="X193" s="78" t="n"/>
    </row>
    <row r="194" ht="15" customHeight="1" s="150">
      <c r="A194" s="78" t="n"/>
      <c r="B194" s="78" t="n"/>
      <c r="C194" s="78" t="n"/>
      <c r="D194" s="78" t="n"/>
      <c r="E194" s="78" t="n"/>
      <c r="F194" s="78" t="n"/>
      <c r="G194" s="78" t="n"/>
      <c r="H194" s="78" t="n"/>
      <c r="I194" s="78" t="n"/>
      <c r="J194" s="78" t="n"/>
      <c r="K194" s="78" t="n"/>
      <c r="L194" s="78" t="n"/>
      <c r="M194" s="78" t="n"/>
      <c r="N194" s="78" t="n"/>
      <c r="O194" s="78" t="n"/>
      <c r="P194" s="78" t="n"/>
      <c r="Q194" s="78" t="n"/>
      <c r="R194" s="78" t="n"/>
      <c r="S194" s="78" t="n"/>
      <c r="T194" s="78" t="n"/>
      <c r="U194" s="78" t="n"/>
      <c r="V194" s="78" t="n"/>
      <c r="W194" s="78" t="n"/>
      <c r="X194" s="78" t="n"/>
    </row>
    <row r="195" ht="15" customHeight="1" s="150">
      <c r="A195" s="78" t="n"/>
      <c r="B195" s="78" t="n"/>
      <c r="C195" s="78" t="n"/>
      <c r="D195" s="78" t="n"/>
      <c r="E195" s="78" t="n"/>
      <c r="F195" s="78" t="n"/>
      <c r="G195" s="78" t="n"/>
      <c r="H195" s="78" t="n"/>
      <c r="I195" s="78" t="n"/>
      <c r="J195" s="78" t="n"/>
      <c r="K195" s="78" t="n"/>
      <c r="L195" s="78" t="n"/>
      <c r="M195" s="78" t="n"/>
      <c r="N195" s="78" t="n"/>
      <c r="O195" s="78" t="n"/>
      <c r="P195" s="78" t="n"/>
      <c r="Q195" s="78" t="n"/>
      <c r="R195" s="78" t="n"/>
      <c r="S195" s="78" t="n"/>
      <c r="T195" s="78" t="n"/>
      <c r="U195" s="78" t="n"/>
      <c r="V195" s="78" t="n"/>
      <c r="W195" s="78" t="n"/>
      <c r="X195" s="78" t="n"/>
    </row>
    <row r="196" ht="15" customHeight="1" s="150">
      <c r="A196" s="78" t="n"/>
      <c r="B196" s="78" t="n"/>
      <c r="C196" s="78" t="n"/>
      <c r="D196" s="78" t="n"/>
      <c r="E196" s="78" t="n"/>
      <c r="F196" s="78" t="n"/>
      <c r="G196" s="78" t="n"/>
      <c r="H196" s="78" t="n"/>
      <c r="I196" s="78" t="n"/>
      <c r="J196" s="78" t="n"/>
      <c r="K196" s="78" t="n"/>
      <c r="L196" s="78" t="n"/>
      <c r="M196" s="78" t="n"/>
      <c r="N196" s="78" t="n"/>
      <c r="O196" s="78" t="n"/>
      <c r="P196" s="78" t="n"/>
      <c r="Q196" s="78" t="n"/>
      <c r="R196" s="78" t="n"/>
      <c r="S196" s="78" t="n"/>
      <c r="T196" s="78" t="n"/>
      <c r="U196" s="78" t="n"/>
      <c r="V196" s="78" t="n"/>
      <c r="W196" s="78" t="n"/>
      <c r="X196" s="78" t="n"/>
    </row>
    <row r="197" ht="15" customHeight="1" s="150">
      <c r="A197" s="78" t="n"/>
      <c r="B197" s="78" t="n"/>
      <c r="C197" s="78" t="n"/>
      <c r="D197" s="78" t="n"/>
      <c r="E197" s="78" t="n"/>
      <c r="F197" s="78" t="n"/>
      <c r="G197" s="78" t="n"/>
      <c r="H197" s="78" t="n"/>
      <c r="I197" s="78" t="n"/>
      <c r="J197" s="78" t="n"/>
      <c r="K197" s="78" t="n"/>
      <c r="L197" s="78" t="n"/>
      <c r="M197" s="78" t="n"/>
      <c r="N197" s="78" t="n"/>
      <c r="O197" s="78" t="n"/>
      <c r="P197" s="78" t="n"/>
      <c r="Q197" s="78" t="n"/>
      <c r="R197" s="78" t="n"/>
      <c r="S197" s="78" t="n"/>
      <c r="T197" s="78" t="n"/>
      <c r="U197" s="78" t="n"/>
      <c r="V197" s="78" t="n"/>
      <c r="W197" s="78" t="n"/>
      <c r="X197" s="78" t="n"/>
    </row>
    <row r="198" ht="15" customHeight="1" s="150">
      <c r="A198" s="78" t="n"/>
      <c r="B198" s="78" t="n"/>
      <c r="C198" s="78" t="n"/>
      <c r="D198" s="78" t="n"/>
      <c r="E198" s="78" t="n"/>
      <c r="F198" s="78" t="n"/>
      <c r="G198" s="78" t="n"/>
      <c r="H198" s="78" t="n"/>
      <c r="I198" s="78" t="n"/>
      <c r="J198" s="78" t="n"/>
      <c r="K198" s="78" t="n"/>
      <c r="L198" s="78" t="n"/>
      <c r="M198" s="78" t="n"/>
      <c r="N198" s="78" t="n"/>
      <c r="O198" s="78" t="n"/>
      <c r="P198" s="78" t="n"/>
      <c r="Q198" s="78" t="n"/>
      <c r="R198" s="78" t="n"/>
      <c r="S198" s="78" t="n"/>
      <c r="T198" s="78" t="n"/>
      <c r="U198" s="78" t="n"/>
      <c r="V198" s="78" t="n"/>
      <c r="W198" s="78" t="n"/>
      <c r="X198" s="78" t="n"/>
    </row>
    <row r="199" ht="15" customHeight="1" s="150">
      <c r="A199" s="78" t="n"/>
      <c r="B199" s="78" t="n"/>
      <c r="C199" s="78" t="n"/>
      <c r="D199" s="78" t="n"/>
      <c r="E199" s="78" t="n"/>
      <c r="F199" s="78" t="n"/>
      <c r="G199" s="78" t="n"/>
      <c r="H199" s="78" t="n"/>
      <c r="I199" s="78" t="n"/>
      <c r="J199" s="78" t="n"/>
      <c r="K199" s="78" t="n"/>
      <c r="L199" s="78" t="n"/>
      <c r="M199" s="78" t="n"/>
      <c r="N199" s="78" t="n"/>
      <c r="O199" s="78" t="n"/>
      <c r="P199" s="78" t="n"/>
      <c r="Q199" s="78" t="n"/>
      <c r="R199" s="78" t="n"/>
      <c r="S199" s="78" t="n"/>
      <c r="T199" s="78" t="n"/>
      <c r="U199" s="78" t="n"/>
      <c r="V199" s="78" t="n"/>
      <c r="W199" s="78" t="n"/>
      <c r="X199" s="78" t="n"/>
    </row>
    <row r="200" ht="15" customHeight="1" s="150">
      <c r="A200" s="78" t="n"/>
      <c r="B200" s="78" t="n"/>
      <c r="C200" s="78" t="n"/>
      <c r="D200" s="78" t="n"/>
      <c r="E200" s="78" t="n"/>
      <c r="F200" s="78" t="n"/>
      <c r="G200" s="78" t="n"/>
      <c r="H200" s="78" t="n"/>
      <c r="I200" s="78" t="n"/>
      <c r="J200" s="78" t="n"/>
      <c r="K200" s="78" t="n"/>
      <c r="L200" s="78" t="n"/>
      <c r="M200" s="78" t="n"/>
      <c r="N200" s="78" t="n"/>
      <c r="O200" s="78" t="n"/>
      <c r="P200" s="78" t="n"/>
      <c r="Q200" s="78" t="n"/>
      <c r="R200" s="78" t="n"/>
      <c r="S200" s="78" t="n"/>
      <c r="T200" s="78" t="n"/>
      <c r="U200" s="78" t="n"/>
      <c r="V200" s="78" t="n"/>
      <c r="W200" s="78" t="n"/>
      <c r="X200" s="78" t="n"/>
    </row>
    <row r="201" ht="15" customHeight="1" s="150">
      <c r="A201" s="78" t="n"/>
      <c r="B201" s="78" t="n"/>
      <c r="C201" s="78" t="n"/>
      <c r="D201" s="78" t="n"/>
      <c r="E201" s="78" t="n"/>
      <c r="F201" s="78" t="n"/>
      <c r="G201" s="78" t="n"/>
      <c r="H201" s="78" t="n"/>
      <c r="I201" s="78" t="n"/>
      <c r="J201" s="78" t="n"/>
      <c r="K201" s="78" t="n"/>
      <c r="L201" s="78" t="n"/>
      <c r="M201" s="78" t="n"/>
      <c r="N201" s="78" t="n"/>
      <c r="O201" s="78" t="n"/>
      <c r="P201" s="78" t="n"/>
      <c r="Q201" s="78" t="n"/>
      <c r="R201" s="78" t="n"/>
      <c r="S201" s="78" t="n"/>
      <c r="T201" s="78" t="n"/>
      <c r="U201" s="78" t="n"/>
      <c r="V201" s="78" t="n"/>
      <c r="W201" s="78" t="n"/>
      <c r="X201" s="78" t="n"/>
    </row>
    <row r="202" ht="15" customHeight="1" s="150">
      <c r="A202" s="78" t="n"/>
      <c r="B202" s="78" t="n"/>
      <c r="C202" s="78" t="n"/>
      <c r="D202" s="78" t="n"/>
      <c r="E202" s="78" t="n"/>
      <c r="F202" s="78" t="n"/>
      <c r="G202" s="78" t="n"/>
      <c r="H202" s="78" t="n"/>
      <c r="I202" s="78" t="n"/>
      <c r="J202" s="78" t="n"/>
      <c r="K202" s="78" t="n"/>
      <c r="L202" s="78" t="n"/>
      <c r="M202" s="78" t="n"/>
      <c r="N202" s="78" t="n"/>
      <c r="O202" s="78" t="n"/>
      <c r="P202" s="78" t="n"/>
      <c r="Q202" s="78" t="n"/>
      <c r="R202" s="78" t="n"/>
      <c r="S202" s="78" t="n"/>
      <c r="T202" s="78" t="n"/>
      <c r="U202" s="78" t="n"/>
      <c r="V202" s="78" t="n"/>
      <c r="W202" s="78" t="n"/>
      <c r="X202" s="78" t="n"/>
    </row>
    <row r="203" ht="15" customHeight="1" s="150">
      <c r="A203" s="78" t="n"/>
      <c r="B203" s="78" t="n"/>
      <c r="C203" s="78" t="n"/>
      <c r="D203" s="78" t="n"/>
      <c r="E203" s="78" t="n"/>
      <c r="F203" s="78" t="n"/>
      <c r="G203" s="78" t="n"/>
      <c r="H203" s="78" t="n"/>
      <c r="I203" s="78" t="n"/>
      <c r="J203" s="78" t="n"/>
      <c r="K203" s="78" t="n"/>
      <c r="L203" s="78" t="n"/>
      <c r="M203" s="78" t="n"/>
      <c r="N203" s="78" t="n"/>
      <c r="O203" s="78" t="n"/>
      <c r="P203" s="78" t="n"/>
      <c r="Q203" s="78" t="n"/>
      <c r="R203" s="78" t="n"/>
      <c r="S203" s="78" t="n"/>
      <c r="T203" s="78" t="n"/>
      <c r="U203" s="78" t="n"/>
      <c r="V203" s="78" t="n"/>
      <c r="W203" s="78" t="n"/>
      <c r="X203" s="78" t="n"/>
    </row>
    <row r="204" ht="15" customHeight="1" s="150">
      <c r="A204" s="78" t="n"/>
      <c r="B204" s="78" t="n"/>
      <c r="C204" s="78" t="n"/>
      <c r="D204" s="78" t="n"/>
      <c r="E204" s="78" t="n"/>
      <c r="F204" s="78" t="n"/>
      <c r="G204" s="78" t="n"/>
      <c r="H204" s="78" t="n"/>
      <c r="I204" s="78" t="n"/>
      <c r="J204" s="78" t="n"/>
      <c r="K204" s="78" t="n"/>
      <c r="L204" s="78" t="n"/>
      <c r="M204" s="78" t="n"/>
      <c r="N204" s="78" t="n"/>
      <c r="O204" s="78" t="n"/>
      <c r="P204" s="78" t="n"/>
      <c r="Q204" s="78" t="n"/>
      <c r="R204" s="78" t="n"/>
      <c r="S204" s="78" t="n"/>
      <c r="T204" s="78" t="n"/>
      <c r="U204" s="78" t="n"/>
      <c r="V204" s="78" t="n"/>
      <c r="W204" s="78" t="n"/>
      <c r="X204" s="78" t="n"/>
    </row>
    <row r="205" ht="15" customHeight="1" s="150">
      <c r="A205" s="78" t="n"/>
      <c r="B205" s="78" t="n"/>
      <c r="C205" s="78" t="n"/>
      <c r="D205" s="78" t="n"/>
      <c r="E205" s="78" t="n"/>
      <c r="F205" s="78" t="n"/>
      <c r="G205" s="78" t="n"/>
      <c r="H205" s="78" t="n"/>
      <c r="I205" s="78" t="n"/>
      <c r="J205" s="78" t="n"/>
      <c r="K205" s="78" t="n"/>
      <c r="L205" s="78" t="n"/>
      <c r="M205" s="78" t="n"/>
      <c r="N205" s="78" t="n"/>
      <c r="O205" s="78" t="n"/>
      <c r="P205" s="78" t="n"/>
      <c r="Q205" s="78" t="n"/>
      <c r="R205" s="78" t="n"/>
      <c r="S205" s="78" t="n"/>
      <c r="T205" s="78" t="n"/>
      <c r="U205" s="78" t="n"/>
      <c r="V205" s="78" t="n"/>
      <c r="W205" s="78" t="n"/>
      <c r="X205" s="78" t="n"/>
    </row>
    <row r="206" ht="15" customHeight="1" s="150">
      <c r="A206" s="78" t="n"/>
      <c r="B206" s="78" t="n"/>
      <c r="C206" s="78" t="n"/>
      <c r="D206" s="78" t="n"/>
      <c r="E206" s="78" t="n"/>
      <c r="F206" s="78" t="n"/>
      <c r="G206" s="78" t="n"/>
      <c r="H206" s="78" t="n"/>
      <c r="I206" s="78" t="n"/>
      <c r="J206" s="78" t="n"/>
      <c r="K206" s="78" t="n"/>
      <c r="L206" s="78" t="n"/>
      <c r="M206" s="78" t="n"/>
      <c r="N206" s="78" t="n"/>
      <c r="O206" s="78" t="n"/>
      <c r="P206" s="78" t="n"/>
      <c r="Q206" s="78" t="n"/>
      <c r="R206" s="78" t="n"/>
      <c r="S206" s="78" t="n"/>
      <c r="T206" s="78" t="n"/>
      <c r="U206" s="78" t="n"/>
      <c r="V206" s="78" t="n"/>
      <c r="W206" s="78" t="n"/>
      <c r="X206" s="78" t="n"/>
    </row>
    <row r="207" ht="15" customHeight="1" s="150">
      <c r="A207" s="78" t="n"/>
      <c r="B207" s="78" t="n"/>
      <c r="C207" s="78" t="n"/>
      <c r="D207" s="78" t="n"/>
      <c r="E207" s="78" t="n"/>
      <c r="F207" s="78" t="n"/>
      <c r="G207" s="78" t="n"/>
      <c r="H207" s="78" t="n"/>
      <c r="I207" s="78" t="n"/>
      <c r="J207" s="78" t="n"/>
      <c r="K207" s="78" t="n"/>
      <c r="L207" s="78" t="n"/>
      <c r="M207" s="78" t="n"/>
      <c r="N207" s="78" t="n"/>
      <c r="O207" s="78" t="n"/>
      <c r="P207" s="78" t="n"/>
      <c r="Q207" s="78" t="n"/>
      <c r="R207" s="78" t="n"/>
      <c r="S207" s="78" t="n"/>
      <c r="T207" s="78" t="n"/>
      <c r="U207" s="78" t="n"/>
      <c r="V207" s="78" t="n"/>
      <c r="W207" s="78" t="n"/>
      <c r="X207" s="78" t="n"/>
    </row>
    <row r="208" ht="15" customHeight="1" s="150">
      <c r="A208" s="78" t="n"/>
      <c r="B208" s="78" t="n"/>
      <c r="C208" s="78" t="n"/>
      <c r="D208" s="78" t="n"/>
      <c r="E208" s="78" t="n"/>
      <c r="F208" s="78" t="n"/>
      <c r="G208" s="78" t="n"/>
      <c r="H208" s="78" t="n"/>
      <c r="I208" s="78" t="n"/>
      <c r="J208" s="78" t="n"/>
      <c r="K208" s="78" t="n"/>
      <c r="L208" s="78" t="n"/>
      <c r="M208" s="78" t="n"/>
      <c r="N208" s="78" t="n"/>
      <c r="O208" s="78" t="n"/>
      <c r="P208" s="78" t="n"/>
      <c r="Q208" s="78" t="n"/>
      <c r="R208" s="78" t="n"/>
      <c r="S208" s="78" t="n"/>
      <c r="T208" s="78" t="n"/>
      <c r="U208" s="78" t="n"/>
      <c r="V208" s="78" t="n"/>
      <c r="W208" s="78" t="n"/>
      <c r="X208" s="78" t="n"/>
    </row>
    <row r="209" ht="15" customHeight="1" s="150">
      <c r="A209" s="78" t="n"/>
      <c r="B209" s="78" t="n"/>
      <c r="C209" s="78" t="n"/>
      <c r="D209" s="78" t="n"/>
      <c r="E209" s="78" t="n"/>
      <c r="F209" s="78" t="n"/>
      <c r="G209" s="78" t="n"/>
      <c r="H209" s="78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  <c r="R209" s="78" t="n"/>
      <c r="S209" s="78" t="n"/>
      <c r="T209" s="78" t="n"/>
      <c r="U209" s="78" t="n"/>
      <c r="V209" s="78" t="n"/>
      <c r="W209" s="78" t="n"/>
      <c r="X209" s="78" t="n"/>
    </row>
    <row r="210" ht="15" customHeight="1" s="150">
      <c r="A210" s="78" t="n"/>
      <c r="B210" s="78" t="n"/>
      <c r="C210" s="78" t="n"/>
      <c r="D210" s="78" t="n"/>
      <c r="E210" s="78" t="n"/>
      <c r="F210" s="78" t="n"/>
      <c r="G210" s="78" t="n"/>
      <c r="H210" s="78" t="n"/>
      <c r="I210" s="78" t="n"/>
      <c r="J210" s="78" t="n"/>
      <c r="K210" s="78" t="n"/>
      <c r="L210" s="78" t="n"/>
      <c r="M210" s="78" t="n"/>
      <c r="N210" s="78" t="n"/>
      <c r="O210" s="78" t="n"/>
      <c r="P210" s="78" t="n"/>
      <c r="Q210" s="78" t="n"/>
      <c r="R210" s="78" t="n"/>
      <c r="S210" s="78" t="n"/>
      <c r="T210" s="78" t="n"/>
      <c r="U210" s="78" t="n"/>
      <c r="V210" s="78" t="n"/>
      <c r="W210" s="78" t="n"/>
      <c r="X210" s="78" t="n"/>
    </row>
    <row r="211" ht="15" customHeight="1" s="150">
      <c r="A211" s="78" t="n"/>
      <c r="B211" s="78" t="n"/>
      <c r="C211" s="78" t="n"/>
      <c r="D211" s="78" t="n"/>
      <c r="E211" s="78" t="n"/>
      <c r="F211" s="78" t="n"/>
      <c r="G211" s="78" t="n"/>
      <c r="H211" s="78" t="n"/>
      <c r="I211" s="78" t="n"/>
      <c r="J211" s="78" t="n"/>
      <c r="K211" s="78" t="n"/>
      <c r="L211" s="78" t="n"/>
      <c r="M211" s="78" t="n"/>
      <c r="N211" s="78" t="n"/>
      <c r="O211" s="78" t="n"/>
      <c r="P211" s="78" t="n"/>
      <c r="Q211" s="78" t="n"/>
      <c r="R211" s="78" t="n"/>
      <c r="S211" s="78" t="n"/>
      <c r="T211" s="78" t="n"/>
      <c r="U211" s="78" t="n"/>
      <c r="V211" s="78" t="n"/>
      <c r="W211" s="78" t="n"/>
      <c r="X211" s="78" t="n"/>
    </row>
    <row r="212" ht="15" customHeight="1" s="150">
      <c r="A212" s="78" t="n"/>
      <c r="B212" s="78" t="n"/>
      <c r="C212" s="78" t="n"/>
      <c r="D212" s="78" t="n"/>
      <c r="E212" s="78" t="n"/>
      <c r="F212" s="78" t="n"/>
      <c r="G212" s="78" t="n"/>
      <c r="H212" s="78" t="n"/>
      <c r="I212" s="78" t="n"/>
      <c r="J212" s="78" t="n"/>
      <c r="K212" s="78" t="n"/>
      <c r="L212" s="78" t="n"/>
      <c r="M212" s="78" t="n"/>
      <c r="N212" s="78" t="n"/>
      <c r="O212" s="78" t="n"/>
      <c r="P212" s="78" t="n"/>
      <c r="Q212" s="78" t="n"/>
      <c r="R212" s="78" t="n"/>
      <c r="S212" s="78" t="n"/>
      <c r="T212" s="78" t="n"/>
      <c r="U212" s="78" t="n"/>
      <c r="V212" s="78" t="n"/>
      <c r="W212" s="78" t="n"/>
      <c r="X212" s="78" t="n"/>
    </row>
    <row r="213" ht="15" customHeight="1" s="150">
      <c r="A213" s="78" t="n"/>
      <c r="B213" s="78" t="n"/>
      <c r="C213" s="78" t="n"/>
      <c r="D213" s="78" t="n"/>
      <c r="E213" s="78" t="n"/>
      <c r="F213" s="78" t="n"/>
      <c r="G213" s="78" t="n"/>
      <c r="H213" s="78" t="n"/>
      <c r="I213" s="78" t="n"/>
      <c r="J213" s="78" t="n"/>
      <c r="K213" s="78" t="n"/>
      <c r="L213" s="78" t="n"/>
      <c r="M213" s="78" t="n"/>
      <c r="N213" s="78" t="n"/>
      <c r="O213" s="78" t="n"/>
      <c r="P213" s="78" t="n"/>
      <c r="Q213" s="78" t="n"/>
      <c r="R213" s="78" t="n"/>
      <c r="S213" s="78" t="n"/>
      <c r="T213" s="78" t="n"/>
      <c r="U213" s="78" t="n"/>
      <c r="V213" s="78" t="n"/>
      <c r="W213" s="78" t="n"/>
      <c r="X213" s="78" t="n"/>
    </row>
    <row r="214" ht="15" customHeight="1" s="150">
      <c r="A214" s="78" t="n"/>
      <c r="B214" s="78" t="n"/>
      <c r="C214" s="78" t="n"/>
      <c r="D214" s="78" t="n"/>
      <c r="E214" s="78" t="n"/>
      <c r="F214" s="78" t="n"/>
      <c r="G214" s="78" t="n"/>
      <c r="H214" s="78" t="n"/>
      <c r="I214" s="78" t="n"/>
      <c r="J214" s="78" t="n"/>
      <c r="K214" s="78" t="n"/>
      <c r="L214" s="78" t="n"/>
      <c r="M214" s="78" t="n"/>
      <c r="N214" s="78" t="n"/>
      <c r="O214" s="78" t="n"/>
      <c r="P214" s="78" t="n"/>
      <c r="Q214" s="78" t="n"/>
      <c r="R214" s="78" t="n"/>
      <c r="S214" s="78" t="n"/>
      <c r="T214" s="78" t="n"/>
      <c r="U214" s="78" t="n"/>
      <c r="V214" s="78" t="n"/>
      <c r="W214" s="78" t="n"/>
      <c r="X214" s="78" t="n"/>
    </row>
    <row r="215" ht="15" customHeight="1" s="150">
      <c r="A215" s="78" t="n"/>
      <c r="B215" s="78" t="n"/>
      <c r="C215" s="78" t="n"/>
      <c r="D215" s="78" t="n"/>
      <c r="E215" s="78" t="n"/>
      <c r="F215" s="78" t="n"/>
      <c r="G215" s="78" t="n"/>
      <c r="H215" s="78" t="n"/>
      <c r="I215" s="78" t="n"/>
      <c r="J215" s="78" t="n"/>
      <c r="K215" s="78" t="n"/>
      <c r="L215" s="78" t="n"/>
      <c r="M215" s="78" t="n"/>
      <c r="N215" s="78" t="n"/>
      <c r="O215" s="78" t="n"/>
      <c r="P215" s="78" t="n"/>
      <c r="Q215" s="78" t="n"/>
      <c r="R215" s="78" t="n"/>
      <c r="S215" s="78" t="n"/>
      <c r="T215" s="78" t="n"/>
      <c r="U215" s="78" t="n"/>
      <c r="V215" s="78" t="n"/>
      <c r="W215" s="78" t="n"/>
      <c r="X215" s="78" t="n"/>
    </row>
    <row r="216" ht="15" customHeight="1" s="150">
      <c r="A216" s="78" t="n"/>
      <c r="B216" s="78" t="n"/>
      <c r="C216" s="78" t="n"/>
      <c r="D216" s="78" t="n"/>
      <c r="E216" s="78" t="n"/>
      <c r="F216" s="78" t="n"/>
      <c r="G216" s="78" t="n"/>
      <c r="H216" s="78" t="n"/>
      <c r="I216" s="78" t="n"/>
      <c r="J216" s="78" t="n"/>
      <c r="K216" s="78" t="n"/>
      <c r="L216" s="78" t="n"/>
      <c r="M216" s="78" t="n"/>
      <c r="N216" s="78" t="n"/>
      <c r="O216" s="78" t="n"/>
      <c r="P216" s="78" t="n"/>
      <c r="Q216" s="78" t="n"/>
      <c r="R216" s="78" t="n"/>
      <c r="S216" s="78" t="n"/>
      <c r="T216" s="78" t="n"/>
      <c r="U216" s="78" t="n"/>
      <c r="V216" s="78" t="n"/>
      <c r="W216" s="78" t="n"/>
      <c r="X216" s="78" t="n"/>
    </row>
    <row r="217" ht="15" customHeight="1" s="150">
      <c r="A217" s="78" t="n"/>
      <c r="B217" s="78" t="n"/>
      <c r="C217" s="78" t="n"/>
      <c r="D217" s="78" t="n"/>
      <c r="E217" s="78" t="n"/>
      <c r="F217" s="78" t="n"/>
      <c r="G217" s="78" t="n"/>
      <c r="H217" s="78" t="n"/>
      <c r="I217" s="78" t="n"/>
      <c r="J217" s="78" t="n"/>
      <c r="K217" s="78" t="n"/>
      <c r="L217" s="78" t="n"/>
      <c r="M217" s="78" t="n"/>
      <c r="N217" s="78" t="n"/>
      <c r="O217" s="78" t="n"/>
      <c r="P217" s="78" t="n"/>
      <c r="Q217" s="78" t="n"/>
      <c r="R217" s="78" t="n"/>
      <c r="S217" s="78" t="n"/>
      <c r="T217" s="78" t="n"/>
      <c r="U217" s="78" t="n"/>
      <c r="V217" s="78" t="n"/>
      <c r="W217" s="78" t="n"/>
      <c r="X217" s="78" t="n"/>
    </row>
    <row r="218" ht="15" customHeight="1" s="150">
      <c r="A218" s="78" t="n"/>
      <c r="B218" s="78" t="n"/>
      <c r="C218" s="78" t="n"/>
      <c r="D218" s="78" t="n"/>
      <c r="E218" s="78" t="n"/>
      <c r="F218" s="78" t="n"/>
      <c r="G218" s="78" t="n"/>
      <c r="H218" s="78" t="n"/>
      <c r="I218" s="78" t="n"/>
      <c r="J218" s="78" t="n"/>
      <c r="K218" s="78" t="n"/>
      <c r="L218" s="78" t="n"/>
      <c r="M218" s="78" t="n"/>
      <c r="N218" s="78" t="n"/>
      <c r="O218" s="78" t="n"/>
      <c r="P218" s="78" t="n"/>
      <c r="Q218" s="78" t="n"/>
      <c r="R218" s="78" t="n"/>
      <c r="S218" s="78" t="n"/>
      <c r="T218" s="78" t="n"/>
      <c r="U218" s="78" t="n"/>
      <c r="V218" s="78" t="n"/>
      <c r="W218" s="78" t="n"/>
      <c r="X218" s="78" t="n"/>
    </row>
    <row r="219" ht="15" customHeight="1" s="150">
      <c r="A219" s="78" t="n"/>
      <c r="B219" s="78" t="n"/>
      <c r="C219" s="78" t="n"/>
      <c r="D219" s="78" t="n"/>
      <c r="E219" s="78" t="n"/>
      <c r="F219" s="78" t="n"/>
      <c r="G219" s="78" t="n"/>
      <c r="H219" s="78" t="n"/>
      <c r="I219" s="78" t="n"/>
      <c r="J219" s="78" t="n"/>
      <c r="K219" s="78" t="n"/>
      <c r="L219" s="78" t="n"/>
      <c r="M219" s="78" t="n"/>
      <c r="N219" s="78" t="n"/>
      <c r="O219" s="78" t="n"/>
      <c r="P219" s="78" t="n"/>
      <c r="Q219" s="78" t="n"/>
      <c r="R219" s="78" t="n"/>
      <c r="S219" s="78" t="n"/>
      <c r="T219" s="78" t="n"/>
      <c r="U219" s="78" t="n"/>
      <c r="V219" s="78" t="n"/>
      <c r="W219" s="78" t="n"/>
      <c r="X219" s="78" t="n"/>
    </row>
    <row r="220" ht="15" customHeight="1" s="150">
      <c r="A220" s="78" t="n"/>
      <c r="B220" s="78" t="n"/>
      <c r="C220" s="78" t="n"/>
      <c r="D220" s="78" t="n"/>
      <c r="E220" s="78" t="n"/>
      <c r="F220" s="78" t="n"/>
      <c r="G220" s="78" t="n"/>
      <c r="H220" s="78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  <c r="R220" s="78" t="n"/>
      <c r="S220" s="78" t="n"/>
      <c r="T220" s="78" t="n"/>
      <c r="U220" s="78" t="n"/>
      <c r="V220" s="78" t="n"/>
      <c r="W220" s="78" t="n"/>
      <c r="X220" s="78" t="n"/>
    </row>
    <row r="221" ht="15" customHeight="1" s="150">
      <c r="A221" s="78" t="n"/>
      <c r="B221" s="78" t="n"/>
      <c r="C221" s="78" t="n"/>
      <c r="D221" s="78" t="n"/>
      <c r="E221" s="78" t="n"/>
      <c r="F221" s="78" t="n"/>
      <c r="G221" s="78" t="n"/>
      <c r="H221" s="78" t="n"/>
      <c r="I221" s="78" t="n"/>
      <c r="J221" s="78" t="n"/>
      <c r="K221" s="78" t="n"/>
      <c r="L221" s="78" t="n"/>
      <c r="M221" s="78" t="n"/>
      <c r="N221" s="78" t="n"/>
      <c r="O221" s="78" t="n"/>
      <c r="P221" s="78" t="n"/>
      <c r="Q221" s="78" t="n"/>
      <c r="R221" s="78" t="n"/>
      <c r="S221" s="78" t="n"/>
      <c r="T221" s="78" t="n"/>
      <c r="U221" s="78" t="n"/>
      <c r="V221" s="78" t="n"/>
      <c r="W221" s="78" t="n"/>
      <c r="X221" s="78" t="n"/>
    </row>
    <row r="222" ht="15" customHeight="1" s="150">
      <c r="A222" s="78" t="n"/>
      <c r="B222" s="78" t="n"/>
      <c r="C222" s="78" t="n"/>
      <c r="D222" s="78" t="n"/>
      <c r="E222" s="78" t="n"/>
      <c r="F222" s="78" t="n"/>
      <c r="G222" s="78" t="n"/>
      <c r="H222" s="78" t="n"/>
      <c r="I222" s="78" t="n"/>
      <c r="J222" s="78" t="n"/>
      <c r="K222" s="78" t="n"/>
      <c r="L222" s="78" t="n"/>
      <c r="M222" s="78" t="n"/>
      <c r="N222" s="78" t="n"/>
      <c r="O222" s="78" t="n"/>
      <c r="P222" s="78" t="n"/>
      <c r="Q222" s="78" t="n"/>
      <c r="R222" s="78" t="n"/>
      <c r="S222" s="78" t="n"/>
      <c r="T222" s="78" t="n"/>
      <c r="U222" s="78" t="n"/>
      <c r="V222" s="78" t="n"/>
      <c r="W222" s="78" t="n"/>
      <c r="X222" s="78" t="n"/>
    </row>
    <row r="223" ht="15" customHeight="1" s="150">
      <c r="A223" s="78" t="n"/>
      <c r="B223" s="78" t="n"/>
      <c r="C223" s="78" t="n"/>
      <c r="D223" s="78" t="n"/>
      <c r="E223" s="78" t="n"/>
      <c r="F223" s="78" t="n"/>
      <c r="G223" s="78" t="n"/>
      <c r="H223" s="78" t="n"/>
      <c r="I223" s="78" t="n"/>
      <c r="J223" s="78" t="n"/>
      <c r="K223" s="78" t="n"/>
      <c r="L223" s="78" t="n"/>
      <c r="M223" s="78" t="n"/>
      <c r="N223" s="78" t="n"/>
      <c r="O223" s="78" t="n"/>
      <c r="P223" s="78" t="n"/>
      <c r="Q223" s="78" t="n"/>
      <c r="R223" s="78" t="n"/>
      <c r="S223" s="78" t="n"/>
      <c r="T223" s="78" t="n"/>
      <c r="U223" s="78" t="n"/>
      <c r="V223" s="78" t="n"/>
      <c r="W223" s="78" t="n"/>
      <c r="X223" s="78" t="n"/>
    </row>
    <row r="224" ht="15" customHeight="1" s="150">
      <c r="A224" s="78" t="n"/>
      <c r="B224" s="78" t="n"/>
      <c r="C224" s="78" t="n"/>
      <c r="D224" s="78" t="n"/>
      <c r="E224" s="78" t="n"/>
      <c r="F224" s="78" t="n"/>
      <c r="G224" s="78" t="n"/>
      <c r="H224" s="78" t="n"/>
      <c r="I224" s="78" t="n"/>
      <c r="J224" s="78" t="n"/>
      <c r="K224" s="78" t="n"/>
      <c r="L224" s="78" t="n"/>
      <c r="M224" s="78" t="n"/>
      <c r="N224" s="78" t="n"/>
      <c r="O224" s="78" t="n"/>
      <c r="P224" s="78" t="n"/>
      <c r="Q224" s="78" t="n"/>
      <c r="R224" s="78" t="n"/>
      <c r="S224" s="78" t="n"/>
      <c r="T224" s="78" t="n"/>
      <c r="U224" s="78" t="n"/>
      <c r="V224" s="78" t="n"/>
      <c r="W224" s="78" t="n"/>
      <c r="X224" s="78" t="n"/>
    </row>
    <row r="225" ht="15" customHeight="1" s="150">
      <c r="A225" s="78" t="n"/>
      <c r="B225" s="78" t="n"/>
      <c r="C225" s="78" t="n"/>
      <c r="D225" s="78" t="n"/>
      <c r="E225" s="78" t="n"/>
      <c r="F225" s="78" t="n"/>
      <c r="G225" s="78" t="n"/>
      <c r="H225" s="78" t="n"/>
      <c r="I225" s="78" t="n"/>
      <c r="J225" s="78" t="n"/>
      <c r="K225" s="78" t="n"/>
      <c r="L225" s="78" t="n"/>
      <c r="M225" s="78" t="n"/>
      <c r="N225" s="78" t="n"/>
      <c r="O225" s="78" t="n"/>
      <c r="P225" s="78" t="n"/>
      <c r="Q225" s="78" t="n"/>
      <c r="R225" s="78" t="n"/>
      <c r="S225" s="78" t="n"/>
      <c r="T225" s="78" t="n"/>
      <c r="U225" s="78" t="n"/>
      <c r="V225" s="78" t="n"/>
      <c r="W225" s="78" t="n"/>
      <c r="X225" s="78" t="n"/>
    </row>
    <row r="226" ht="15" customHeight="1" s="150">
      <c r="A226" s="78" t="n"/>
      <c r="B226" s="78" t="n"/>
      <c r="C226" s="78" t="n"/>
      <c r="D226" s="78" t="n"/>
      <c r="E226" s="78" t="n"/>
      <c r="F226" s="78" t="n"/>
      <c r="G226" s="78" t="n"/>
      <c r="H226" s="78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  <c r="R226" s="78" t="n"/>
      <c r="S226" s="78" t="n"/>
      <c r="T226" s="78" t="n"/>
      <c r="U226" s="78" t="n"/>
      <c r="V226" s="78" t="n"/>
      <c r="W226" s="78" t="n"/>
      <c r="X226" s="78" t="n"/>
    </row>
    <row r="227" ht="15" customHeight="1" s="150">
      <c r="A227" s="78" t="n"/>
      <c r="B227" s="78" t="n"/>
      <c r="C227" s="78" t="n"/>
      <c r="D227" s="78" t="n"/>
      <c r="E227" s="78" t="n"/>
      <c r="F227" s="78" t="n"/>
      <c r="G227" s="78" t="n"/>
      <c r="H227" s="78" t="n"/>
      <c r="I227" s="78" t="n"/>
      <c r="J227" s="78" t="n"/>
      <c r="K227" s="78" t="n"/>
      <c r="L227" s="78" t="n"/>
      <c r="M227" s="78" t="n"/>
      <c r="N227" s="78" t="n"/>
      <c r="O227" s="78" t="n"/>
      <c r="P227" s="78" t="n"/>
      <c r="Q227" s="78" t="n"/>
      <c r="R227" s="78" t="n"/>
      <c r="S227" s="78" t="n"/>
      <c r="T227" s="78" t="n"/>
      <c r="U227" s="78" t="n"/>
      <c r="V227" s="78" t="n"/>
      <c r="W227" s="78" t="n"/>
      <c r="X227" s="78" t="n"/>
    </row>
    <row r="228" ht="15" customHeight="1" s="150">
      <c r="A228" s="78" t="n"/>
      <c r="B228" s="78" t="n"/>
      <c r="C228" s="78" t="n"/>
      <c r="D228" s="78" t="n"/>
      <c r="E228" s="78" t="n"/>
      <c r="F228" s="78" t="n"/>
      <c r="G228" s="78" t="n"/>
      <c r="H228" s="78" t="n"/>
      <c r="I228" s="78" t="n"/>
      <c r="J228" s="78" t="n"/>
      <c r="K228" s="78" t="n"/>
      <c r="L228" s="78" t="n"/>
      <c r="M228" s="78" t="n"/>
      <c r="N228" s="78" t="n"/>
      <c r="O228" s="78" t="n"/>
      <c r="P228" s="78" t="n"/>
      <c r="Q228" s="78" t="n"/>
      <c r="R228" s="78" t="n"/>
      <c r="S228" s="78" t="n"/>
      <c r="T228" s="78" t="n"/>
      <c r="U228" s="78" t="n"/>
      <c r="V228" s="78" t="n"/>
      <c r="W228" s="78" t="n"/>
      <c r="X228" s="78" t="n"/>
    </row>
    <row r="229" ht="15" customHeight="1" s="150">
      <c r="A229" s="78" t="n"/>
      <c r="B229" s="78" t="n"/>
      <c r="C229" s="78" t="n"/>
      <c r="D229" s="78" t="n"/>
      <c r="E229" s="78" t="n"/>
      <c r="F229" s="78" t="n"/>
      <c r="G229" s="78" t="n"/>
      <c r="H229" s="78" t="n"/>
      <c r="I229" s="78" t="n"/>
      <c r="J229" s="78" t="n"/>
      <c r="K229" s="78" t="n"/>
      <c r="L229" s="78" t="n"/>
      <c r="M229" s="78" t="n"/>
      <c r="N229" s="78" t="n"/>
      <c r="O229" s="78" t="n"/>
      <c r="P229" s="78" t="n"/>
      <c r="Q229" s="78" t="n"/>
      <c r="R229" s="78" t="n"/>
      <c r="S229" s="78" t="n"/>
      <c r="T229" s="78" t="n"/>
      <c r="U229" s="78" t="n"/>
      <c r="V229" s="78" t="n"/>
      <c r="W229" s="78" t="n"/>
      <c r="X229" s="78" t="n"/>
    </row>
    <row r="230" ht="15" customHeight="1" s="150">
      <c r="A230" s="78" t="n"/>
      <c r="B230" s="78" t="n"/>
      <c r="C230" s="78" t="n"/>
      <c r="D230" s="78" t="n"/>
      <c r="E230" s="78" t="n"/>
      <c r="F230" s="78" t="n"/>
      <c r="G230" s="78" t="n"/>
      <c r="H230" s="78" t="n"/>
      <c r="I230" s="78" t="n"/>
      <c r="J230" s="78" t="n"/>
      <c r="K230" s="78" t="n"/>
      <c r="L230" s="78" t="n"/>
      <c r="M230" s="78" t="n"/>
      <c r="N230" s="78" t="n"/>
      <c r="O230" s="78" t="n"/>
      <c r="P230" s="78" t="n"/>
      <c r="Q230" s="78" t="n"/>
      <c r="R230" s="78" t="n"/>
      <c r="S230" s="78" t="n"/>
      <c r="T230" s="78" t="n"/>
      <c r="U230" s="78" t="n"/>
      <c r="V230" s="78" t="n"/>
      <c r="W230" s="78" t="n"/>
      <c r="X230" s="78" t="n"/>
    </row>
    <row r="231" ht="15" customHeight="1" s="150">
      <c r="A231" s="78" t="n"/>
      <c r="B231" s="78" t="n"/>
      <c r="C231" s="78" t="n"/>
      <c r="D231" s="78" t="n"/>
      <c r="E231" s="78" t="n"/>
      <c r="F231" s="78" t="n"/>
      <c r="G231" s="78" t="n"/>
      <c r="H231" s="78" t="n"/>
      <c r="I231" s="78" t="n"/>
      <c r="J231" s="78" t="n"/>
      <c r="K231" s="78" t="n"/>
      <c r="L231" s="78" t="n"/>
      <c r="M231" s="78" t="n"/>
      <c r="N231" s="78" t="n"/>
      <c r="O231" s="78" t="n"/>
      <c r="P231" s="78" t="n"/>
      <c r="Q231" s="78" t="n"/>
      <c r="R231" s="78" t="n"/>
      <c r="S231" s="78" t="n"/>
      <c r="T231" s="78" t="n"/>
      <c r="U231" s="78" t="n"/>
      <c r="V231" s="78" t="n"/>
      <c r="W231" s="78" t="n"/>
      <c r="X231" s="78" t="n"/>
    </row>
    <row r="232" ht="15" customHeight="1" s="150">
      <c r="A232" s="78" t="n"/>
      <c r="B232" s="78" t="n"/>
      <c r="C232" s="78" t="n"/>
      <c r="D232" s="78" t="n"/>
      <c r="E232" s="78" t="n"/>
      <c r="F232" s="78" t="n"/>
      <c r="G232" s="78" t="n"/>
      <c r="H232" s="78" t="n"/>
      <c r="I232" s="78" t="n"/>
      <c r="J232" s="78" t="n"/>
      <c r="K232" s="78" t="n"/>
      <c r="L232" s="78" t="n"/>
      <c r="M232" s="78" t="n"/>
      <c r="N232" s="78" t="n"/>
      <c r="O232" s="78" t="n"/>
      <c r="P232" s="78" t="n"/>
      <c r="Q232" s="78" t="n"/>
      <c r="R232" s="78" t="n"/>
      <c r="S232" s="78" t="n"/>
      <c r="T232" s="78" t="n"/>
      <c r="U232" s="78" t="n"/>
      <c r="V232" s="78" t="n"/>
      <c r="W232" s="78" t="n"/>
      <c r="X232" s="78" t="n"/>
    </row>
    <row r="233" ht="15" customHeight="1" s="150">
      <c r="A233" s="78" t="n"/>
      <c r="B233" s="78" t="n"/>
      <c r="C233" s="78" t="n"/>
      <c r="D233" s="78" t="n"/>
      <c r="E233" s="78" t="n"/>
      <c r="F233" s="78" t="n"/>
      <c r="G233" s="78" t="n"/>
      <c r="H233" s="78" t="n"/>
      <c r="I233" s="78" t="n"/>
      <c r="J233" s="78" t="n"/>
      <c r="K233" s="78" t="n"/>
      <c r="L233" s="78" t="n"/>
      <c r="M233" s="78" t="n"/>
      <c r="N233" s="78" t="n"/>
      <c r="O233" s="78" t="n"/>
      <c r="P233" s="78" t="n"/>
      <c r="Q233" s="78" t="n"/>
      <c r="R233" s="78" t="n"/>
      <c r="S233" s="78" t="n"/>
      <c r="T233" s="78" t="n"/>
      <c r="U233" s="78" t="n"/>
      <c r="V233" s="78" t="n"/>
      <c r="W233" s="78" t="n"/>
      <c r="X233" s="78" t="n"/>
    </row>
    <row r="234" ht="15" customHeight="1" s="150">
      <c r="A234" s="78" t="n"/>
      <c r="B234" s="78" t="n"/>
      <c r="C234" s="78" t="n"/>
      <c r="D234" s="78" t="n"/>
      <c r="E234" s="78" t="n"/>
      <c r="F234" s="78" t="n"/>
      <c r="G234" s="78" t="n"/>
      <c r="H234" s="78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  <c r="R234" s="78" t="n"/>
      <c r="S234" s="78" t="n"/>
      <c r="T234" s="78" t="n"/>
      <c r="U234" s="78" t="n"/>
      <c r="V234" s="78" t="n"/>
      <c r="W234" s="78" t="n"/>
      <c r="X234" s="78" t="n"/>
    </row>
    <row r="235" ht="15" customHeight="1" s="150">
      <c r="A235" s="78" t="n"/>
      <c r="B235" s="78" t="n"/>
      <c r="C235" s="78" t="n"/>
      <c r="D235" s="78" t="n"/>
      <c r="E235" s="78" t="n"/>
      <c r="F235" s="78" t="n"/>
      <c r="G235" s="78" t="n"/>
      <c r="H235" s="78" t="n"/>
      <c r="I235" s="78" t="n"/>
      <c r="J235" s="78" t="n"/>
      <c r="K235" s="78" t="n"/>
      <c r="L235" s="78" t="n"/>
      <c r="M235" s="78" t="n"/>
      <c r="N235" s="78" t="n"/>
      <c r="O235" s="78" t="n"/>
      <c r="P235" s="78" t="n"/>
      <c r="Q235" s="78" t="n"/>
      <c r="R235" s="78" t="n"/>
      <c r="S235" s="78" t="n"/>
      <c r="T235" s="78" t="n"/>
      <c r="U235" s="78" t="n"/>
      <c r="V235" s="78" t="n"/>
      <c r="W235" s="78" t="n"/>
      <c r="X235" s="78" t="n"/>
    </row>
    <row r="236" ht="15" customHeight="1" s="150">
      <c r="A236" s="78" t="n"/>
      <c r="B236" s="78" t="n"/>
      <c r="C236" s="78" t="n"/>
      <c r="D236" s="78" t="n"/>
      <c r="E236" s="78" t="n"/>
      <c r="F236" s="78" t="n"/>
      <c r="G236" s="78" t="n"/>
      <c r="H236" s="78" t="n"/>
      <c r="I236" s="78" t="n"/>
      <c r="J236" s="78" t="n"/>
      <c r="K236" s="78" t="n"/>
      <c r="L236" s="78" t="n"/>
      <c r="M236" s="78" t="n"/>
      <c r="N236" s="78" t="n"/>
      <c r="O236" s="78" t="n"/>
      <c r="P236" s="78" t="n"/>
      <c r="Q236" s="78" t="n"/>
      <c r="R236" s="78" t="n"/>
      <c r="S236" s="78" t="n"/>
      <c r="T236" s="78" t="n"/>
      <c r="U236" s="78" t="n"/>
      <c r="V236" s="78" t="n"/>
      <c r="W236" s="78" t="n"/>
      <c r="X236" s="78" t="n"/>
    </row>
    <row r="237" ht="15" customHeight="1" s="150">
      <c r="A237" s="78" t="n"/>
      <c r="B237" s="78" t="n"/>
      <c r="C237" s="78" t="n"/>
      <c r="D237" s="78" t="n"/>
      <c r="E237" s="78" t="n"/>
      <c r="F237" s="78" t="n"/>
      <c r="G237" s="78" t="n"/>
      <c r="H237" s="78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  <c r="R237" s="78" t="n"/>
      <c r="S237" s="78" t="n"/>
      <c r="T237" s="78" t="n"/>
      <c r="U237" s="78" t="n"/>
      <c r="V237" s="78" t="n"/>
      <c r="W237" s="78" t="n"/>
      <c r="X237" s="78" t="n"/>
    </row>
    <row r="238" ht="15" customHeight="1" s="150">
      <c r="A238" s="78" t="n"/>
      <c r="B238" s="78" t="n"/>
      <c r="C238" s="78" t="n"/>
      <c r="D238" s="78" t="n"/>
      <c r="E238" s="78" t="n"/>
      <c r="F238" s="78" t="n"/>
      <c r="G238" s="78" t="n"/>
      <c r="H238" s="78" t="n"/>
      <c r="I238" s="78" t="n"/>
      <c r="J238" s="78" t="n"/>
      <c r="K238" s="78" t="n"/>
      <c r="L238" s="78" t="n"/>
      <c r="M238" s="78" t="n"/>
      <c r="N238" s="78" t="n"/>
      <c r="O238" s="78" t="n"/>
      <c r="P238" s="78" t="n"/>
      <c r="Q238" s="78" t="n"/>
      <c r="R238" s="78" t="n"/>
      <c r="S238" s="78" t="n"/>
      <c r="T238" s="78" t="n"/>
      <c r="U238" s="78" t="n"/>
      <c r="V238" s="78" t="n"/>
      <c r="W238" s="78" t="n"/>
      <c r="X238" s="78" t="n"/>
    </row>
    <row r="239" ht="15" customHeight="1" s="150">
      <c r="A239" s="78" t="n"/>
      <c r="B239" s="78" t="n"/>
      <c r="C239" s="78" t="n"/>
      <c r="D239" s="78" t="n"/>
      <c r="E239" s="78" t="n"/>
      <c r="F239" s="78" t="n"/>
      <c r="G239" s="78" t="n"/>
      <c r="H239" s="78" t="n"/>
      <c r="I239" s="78" t="n"/>
      <c r="J239" s="78" t="n"/>
      <c r="K239" s="78" t="n"/>
      <c r="L239" s="78" t="n"/>
      <c r="M239" s="78" t="n"/>
      <c r="N239" s="78" t="n"/>
      <c r="O239" s="78" t="n"/>
      <c r="P239" s="78" t="n"/>
      <c r="Q239" s="78" t="n"/>
      <c r="R239" s="78" t="n"/>
      <c r="S239" s="78" t="n"/>
      <c r="T239" s="78" t="n"/>
      <c r="U239" s="78" t="n"/>
      <c r="V239" s="78" t="n"/>
      <c r="W239" s="78" t="n"/>
      <c r="X239" s="78" t="n"/>
    </row>
    <row r="240" ht="15" customHeight="1" s="150">
      <c r="A240" s="78" t="n"/>
      <c r="B240" s="78" t="n"/>
      <c r="C240" s="78" t="n"/>
      <c r="D240" s="78" t="n"/>
      <c r="E240" s="78" t="n"/>
      <c r="F240" s="78" t="n"/>
      <c r="G240" s="78" t="n"/>
      <c r="H240" s="78" t="n"/>
      <c r="I240" s="78" t="n"/>
      <c r="J240" s="78" t="n"/>
      <c r="K240" s="78" t="n"/>
      <c r="L240" s="78" t="n"/>
      <c r="M240" s="78" t="n"/>
      <c r="N240" s="78" t="n"/>
      <c r="O240" s="78" t="n"/>
      <c r="P240" s="78" t="n"/>
      <c r="Q240" s="78" t="n"/>
      <c r="R240" s="78" t="n"/>
      <c r="S240" s="78" t="n"/>
      <c r="T240" s="78" t="n"/>
      <c r="U240" s="78" t="n"/>
      <c r="V240" s="78" t="n"/>
      <c r="W240" s="78" t="n"/>
      <c r="X240" s="78" t="n"/>
    </row>
    <row r="241" ht="15" customHeight="1" s="150">
      <c r="A241" s="78" t="n"/>
      <c r="B241" s="78" t="n"/>
      <c r="C241" s="78" t="n"/>
      <c r="D241" s="78" t="n"/>
      <c r="E241" s="78" t="n"/>
      <c r="F241" s="78" t="n"/>
      <c r="G241" s="78" t="n"/>
      <c r="H241" s="78" t="n"/>
      <c r="I241" s="78" t="n"/>
      <c r="J241" s="78" t="n"/>
      <c r="K241" s="78" t="n"/>
      <c r="L241" s="78" t="n"/>
      <c r="M241" s="78" t="n"/>
      <c r="N241" s="78" t="n"/>
      <c r="O241" s="78" t="n"/>
      <c r="P241" s="78" t="n"/>
      <c r="Q241" s="78" t="n"/>
      <c r="R241" s="78" t="n"/>
      <c r="S241" s="78" t="n"/>
      <c r="T241" s="78" t="n"/>
      <c r="U241" s="78" t="n"/>
      <c r="V241" s="78" t="n"/>
      <c r="W241" s="78" t="n"/>
      <c r="X241" s="78" t="n"/>
    </row>
    <row r="242" ht="15" customHeight="1" s="150">
      <c r="A242" s="78" t="n"/>
      <c r="B242" s="78" t="n"/>
      <c r="C242" s="78" t="n"/>
      <c r="D242" s="78" t="n"/>
      <c r="E242" s="78" t="n"/>
      <c r="F242" s="78" t="n"/>
      <c r="G242" s="78" t="n"/>
      <c r="H242" s="78" t="n"/>
      <c r="I242" s="78" t="n"/>
      <c r="J242" s="78" t="n"/>
      <c r="K242" s="78" t="n"/>
      <c r="L242" s="78" t="n"/>
      <c r="M242" s="78" t="n"/>
      <c r="N242" s="78" t="n"/>
      <c r="O242" s="78" t="n"/>
      <c r="P242" s="78" t="n"/>
      <c r="Q242" s="78" t="n"/>
      <c r="R242" s="78" t="n"/>
      <c r="S242" s="78" t="n"/>
      <c r="T242" s="78" t="n"/>
      <c r="U242" s="78" t="n"/>
      <c r="V242" s="78" t="n"/>
      <c r="W242" s="78" t="n"/>
      <c r="X242" s="78" t="n"/>
    </row>
    <row r="243" ht="15" customHeight="1" s="150">
      <c r="A243" s="78" t="n"/>
      <c r="B243" s="78" t="n"/>
      <c r="C243" s="78" t="n"/>
      <c r="D243" s="78" t="n"/>
      <c r="E243" s="78" t="n"/>
      <c r="F243" s="78" t="n"/>
      <c r="G243" s="78" t="n"/>
      <c r="H243" s="78" t="n"/>
      <c r="I243" s="78" t="n"/>
      <c r="J243" s="78" t="n"/>
      <c r="K243" s="78" t="n"/>
      <c r="L243" s="78" t="n"/>
      <c r="M243" s="78" t="n"/>
      <c r="N243" s="78" t="n"/>
      <c r="O243" s="78" t="n"/>
      <c r="P243" s="78" t="n"/>
      <c r="Q243" s="78" t="n"/>
      <c r="R243" s="78" t="n"/>
      <c r="S243" s="78" t="n"/>
      <c r="T243" s="78" t="n"/>
      <c r="U243" s="78" t="n"/>
      <c r="V243" s="78" t="n"/>
      <c r="W243" s="78" t="n"/>
      <c r="X243" s="78" t="n"/>
    </row>
    <row r="244" ht="15" customHeight="1" s="150">
      <c r="A244" s="78" t="n"/>
      <c r="B244" s="78" t="n"/>
      <c r="C244" s="78" t="n"/>
      <c r="D244" s="78" t="n"/>
      <c r="E244" s="78" t="n"/>
      <c r="F244" s="78" t="n"/>
      <c r="G244" s="78" t="n"/>
      <c r="H244" s="78" t="n"/>
      <c r="I244" s="78" t="n"/>
      <c r="J244" s="78" t="n"/>
      <c r="K244" s="78" t="n"/>
      <c r="L244" s="78" t="n"/>
      <c r="M244" s="78" t="n"/>
      <c r="N244" s="78" t="n"/>
      <c r="O244" s="78" t="n"/>
      <c r="P244" s="78" t="n"/>
      <c r="Q244" s="78" t="n"/>
      <c r="R244" s="78" t="n"/>
      <c r="S244" s="78" t="n"/>
      <c r="T244" s="78" t="n"/>
      <c r="U244" s="78" t="n"/>
      <c r="V244" s="78" t="n"/>
      <c r="W244" s="78" t="n"/>
      <c r="X244" s="78" t="n"/>
    </row>
    <row r="245" ht="15" customHeight="1" s="150">
      <c r="A245" s="78" t="n"/>
      <c r="B245" s="78" t="n"/>
      <c r="C245" s="78" t="n"/>
      <c r="D245" s="78" t="n"/>
      <c r="E245" s="78" t="n"/>
      <c r="F245" s="78" t="n"/>
      <c r="G245" s="78" t="n"/>
      <c r="H245" s="78" t="n"/>
      <c r="I245" s="78" t="n"/>
      <c r="J245" s="78" t="n"/>
      <c r="K245" s="78" t="n"/>
      <c r="L245" s="78" t="n"/>
      <c r="M245" s="78" t="n"/>
      <c r="N245" s="78" t="n"/>
      <c r="O245" s="78" t="n"/>
      <c r="P245" s="78" t="n"/>
      <c r="Q245" s="78" t="n"/>
      <c r="R245" s="78" t="n"/>
      <c r="S245" s="78" t="n"/>
      <c r="T245" s="78" t="n"/>
      <c r="U245" s="78" t="n"/>
      <c r="V245" s="78" t="n"/>
      <c r="W245" s="78" t="n"/>
      <c r="X245" s="78" t="n"/>
    </row>
    <row r="246" ht="15" customHeight="1" s="150">
      <c r="A246" s="78" t="n"/>
      <c r="B246" s="78" t="n"/>
      <c r="C246" s="78" t="n"/>
      <c r="D246" s="78" t="n"/>
      <c r="E246" s="78" t="n"/>
      <c r="F246" s="78" t="n"/>
      <c r="G246" s="78" t="n"/>
      <c r="H246" s="78" t="n"/>
      <c r="I246" s="78" t="n"/>
      <c r="J246" s="78" t="n"/>
      <c r="K246" s="78" t="n"/>
      <c r="L246" s="78" t="n"/>
      <c r="M246" s="78" t="n"/>
      <c r="N246" s="78" t="n"/>
      <c r="O246" s="78" t="n"/>
      <c r="P246" s="78" t="n"/>
      <c r="Q246" s="78" t="n"/>
      <c r="R246" s="78" t="n"/>
      <c r="S246" s="78" t="n"/>
      <c r="T246" s="78" t="n"/>
      <c r="U246" s="78" t="n"/>
      <c r="V246" s="78" t="n"/>
      <c r="W246" s="78" t="n"/>
      <c r="X246" s="78" t="n"/>
    </row>
    <row r="247" ht="15" customHeight="1" s="150">
      <c r="A247" s="78" t="n"/>
      <c r="B247" s="78" t="n"/>
      <c r="C247" s="78" t="n"/>
      <c r="D247" s="78" t="n"/>
      <c r="E247" s="78" t="n"/>
      <c r="F247" s="78" t="n"/>
      <c r="G247" s="78" t="n"/>
      <c r="H247" s="78" t="n"/>
      <c r="I247" s="78" t="n"/>
      <c r="J247" s="78" t="n"/>
      <c r="K247" s="78" t="n"/>
      <c r="L247" s="78" t="n"/>
      <c r="M247" s="78" t="n"/>
      <c r="N247" s="78" t="n"/>
      <c r="O247" s="78" t="n"/>
      <c r="P247" s="78" t="n"/>
      <c r="Q247" s="78" t="n"/>
      <c r="R247" s="78" t="n"/>
      <c r="S247" s="78" t="n"/>
      <c r="T247" s="78" t="n"/>
      <c r="U247" s="78" t="n"/>
      <c r="V247" s="78" t="n"/>
      <c r="W247" s="78" t="n"/>
      <c r="X247" s="78" t="n"/>
    </row>
    <row r="248" ht="15" customHeight="1" s="150">
      <c r="A248" s="78" t="n"/>
      <c r="B248" s="78" t="n"/>
      <c r="C248" s="78" t="n"/>
      <c r="D248" s="78" t="n"/>
      <c r="E248" s="78" t="n"/>
      <c r="F248" s="78" t="n"/>
      <c r="G248" s="78" t="n"/>
      <c r="H248" s="78" t="n"/>
      <c r="I248" s="78" t="n"/>
      <c r="J248" s="78" t="n"/>
      <c r="K248" s="78" t="n"/>
      <c r="L248" s="78" t="n"/>
      <c r="M248" s="78" t="n"/>
      <c r="N248" s="78" t="n"/>
      <c r="O248" s="78" t="n"/>
      <c r="P248" s="78" t="n"/>
      <c r="Q248" s="78" t="n"/>
      <c r="R248" s="78" t="n"/>
      <c r="S248" s="78" t="n"/>
      <c r="T248" s="78" t="n"/>
      <c r="U248" s="78" t="n"/>
      <c r="V248" s="78" t="n"/>
      <c r="W248" s="78" t="n"/>
      <c r="X248" s="78" t="n"/>
    </row>
    <row r="249" ht="15" customHeight="1" s="150">
      <c r="A249" s="78" t="n"/>
      <c r="B249" s="78" t="n"/>
      <c r="C249" s="78" t="n"/>
      <c r="D249" s="78" t="n"/>
      <c r="E249" s="78" t="n"/>
      <c r="F249" s="78" t="n"/>
      <c r="G249" s="78" t="n"/>
      <c r="H249" s="78" t="n"/>
      <c r="I249" s="78" t="n"/>
      <c r="J249" s="78" t="n"/>
      <c r="K249" s="78" t="n"/>
      <c r="L249" s="78" t="n"/>
      <c r="M249" s="78" t="n"/>
      <c r="N249" s="78" t="n"/>
      <c r="O249" s="78" t="n"/>
      <c r="P249" s="78" t="n"/>
      <c r="Q249" s="78" t="n"/>
      <c r="R249" s="78" t="n"/>
      <c r="S249" s="78" t="n"/>
      <c r="T249" s="78" t="n"/>
      <c r="U249" s="78" t="n"/>
      <c r="V249" s="78" t="n"/>
      <c r="W249" s="78" t="n"/>
      <c r="X249" s="78" t="n"/>
    </row>
    <row r="250" ht="15" customHeight="1" s="150">
      <c r="A250" s="78" t="n"/>
      <c r="B250" s="78" t="n"/>
      <c r="C250" s="78" t="n"/>
      <c r="D250" s="78" t="n"/>
      <c r="E250" s="78" t="n"/>
      <c r="F250" s="78" t="n"/>
      <c r="G250" s="78" t="n"/>
      <c r="H250" s="78" t="n"/>
      <c r="I250" s="78" t="n"/>
      <c r="J250" s="78" t="n"/>
      <c r="K250" s="78" t="n"/>
      <c r="L250" s="78" t="n"/>
      <c r="M250" s="78" t="n"/>
      <c r="N250" s="78" t="n"/>
      <c r="O250" s="78" t="n"/>
      <c r="P250" s="78" t="n"/>
      <c r="Q250" s="78" t="n"/>
      <c r="R250" s="78" t="n"/>
      <c r="S250" s="78" t="n"/>
      <c r="T250" s="78" t="n"/>
      <c r="U250" s="78" t="n"/>
      <c r="V250" s="78" t="n"/>
      <c r="W250" s="78" t="n"/>
      <c r="X250" s="78" t="n"/>
    </row>
    <row r="251" ht="15" customHeight="1" s="150">
      <c r="A251" s="78" t="n"/>
      <c r="B251" s="78" t="n"/>
      <c r="C251" s="78" t="n"/>
      <c r="D251" s="78" t="n"/>
      <c r="E251" s="78" t="n"/>
      <c r="F251" s="78" t="n"/>
      <c r="G251" s="78" t="n"/>
      <c r="H251" s="78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  <c r="R251" s="78" t="n"/>
      <c r="S251" s="78" t="n"/>
      <c r="T251" s="78" t="n"/>
      <c r="U251" s="78" t="n"/>
      <c r="V251" s="78" t="n"/>
      <c r="W251" s="78" t="n"/>
      <c r="X251" s="78" t="n"/>
    </row>
    <row r="252" ht="15" customHeight="1" s="150">
      <c r="A252" s="78" t="n"/>
      <c r="B252" s="78" t="n"/>
      <c r="C252" s="78" t="n"/>
      <c r="D252" s="78" t="n"/>
      <c r="E252" s="78" t="n"/>
      <c r="F252" s="78" t="n"/>
      <c r="G252" s="78" t="n"/>
      <c r="H252" s="78" t="n"/>
      <c r="I252" s="78" t="n"/>
      <c r="J252" s="78" t="n"/>
      <c r="K252" s="78" t="n"/>
      <c r="L252" s="78" t="n"/>
      <c r="M252" s="78" t="n"/>
      <c r="N252" s="78" t="n"/>
      <c r="O252" s="78" t="n"/>
      <c r="P252" s="78" t="n"/>
      <c r="Q252" s="78" t="n"/>
      <c r="R252" s="78" t="n"/>
      <c r="S252" s="78" t="n"/>
      <c r="T252" s="78" t="n"/>
      <c r="U252" s="78" t="n"/>
      <c r="V252" s="78" t="n"/>
      <c r="W252" s="78" t="n"/>
      <c r="X252" s="78" t="n"/>
    </row>
    <row r="253" ht="15" customHeight="1" s="150">
      <c r="A253" s="78" t="n"/>
      <c r="B253" s="78" t="n"/>
      <c r="C253" s="78" t="n"/>
      <c r="D253" s="78" t="n"/>
      <c r="E253" s="78" t="n"/>
      <c r="F253" s="78" t="n"/>
      <c r="G253" s="78" t="n"/>
      <c r="H253" s="78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  <c r="R253" s="78" t="n"/>
      <c r="S253" s="78" t="n"/>
      <c r="T253" s="78" t="n"/>
      <c r="U253" s="78" t="n"/>
      <c r="V253" s="78" t="n"/>
      <c r="W253" s="78" t="n"/>
      <c r="X253" s="78" t="n"/>
    </row>
    <row r="254" ht="15" customHeight="1" s="150">
      <c r="A254" s="78" t="n"/>
      <c r="B254" s="78" t="n"/>
      <c r="C254" s="78" t="n"/>
      <c r="D254" s="78" t="n"/>
      <c r="E254" s="78" t="n"/>
      <c r="F254" s="78" t="n"/>
      <c r="G254" s="78" t="n"/>
      <c r="H254" s="78" t="n"/>
      <c r="I254" s="78" t="n"/>
      <c r="J254" s="78" t="n"/>
      <c r="K254" s="78" t="n"/>
      <c r="L254" s="78" t="n"/>
      <c r="M254" s="78" t="n"/>
      <c r="N254" s="78" t="n"/>
      <c r="O254" s="78" t="n"/>
      <c r="P254" s="78" t="n"/>
      <c r="Q254" s="78" t="n"/>
      <c r="R254" s="78" t="n"/>
      <c r="S254" s="78" t="n"/>
      <c r="T254" s="78" t="n"/>
      <c r="U254" s="78" t="n"/>
      <c r="V254" s="78" t="n"/>
      <c r="W254" s="78" t="n"/>
      <c r="X254" s="78" t="n"/>
    </row>
    <row r="255" ht="15" customHeight="1" s="150">
      <c r="A255" s="78" t="n"/>
      <c r="B255" s="78" t="n"/>
      <c r="C255" s="78" t="n"/>
      <c r="D255" s="78" t="n"/>
      <c r="E255" s="78" t="n"/>
      <c r="F255" s="78" t="n"/>
      <c r="G255" s="78" t="n"/>
      <c r="H255" s="78" t="n"/>
      <c r="I255" s="78" t="n"/>
      <c r="J255" s="78" t="n"/>
      <c r="K255" s="78" t="n"/>
      <c r="L255" s="78" t="n"/>
      <c r="M255" s="78" t="n"/>
      <c r="N255" s="78" t="n"/>
      <c r="O255" s="78" t="n"/>
      <c r="P255" s="78" t="n"/>
      <c r="Q255" s="78" t="n"/>
      <c r="R255" s="78" t="n"/>
      <c r="S255" s="78" t="n"/>
      <c r="T255" s="78" t="n"/>
      <c r="U255" s="78" t="n"/>
      <c r="V255" s="78" t="n"/>
      <c r="W255" s="78" t="n"/>
      <c r="X255" s="78" t="n"/>
    </row>
    <row r="256" ht="15" customHeight="1" s="150">
      <c r="A256" s="78" t="n"/>
      <c r="B256" s="78" t="n"/>
      <c r="C256" s="78" t="n"/>
      <c r="D256" s="78" t="n"/>
      <c r="E256" s="78" t="n"/>
      <c r="F256" s="78" t="n"/>
      <c r="G256" s="78" t="n"/>
      <c r="H256" s="78" t="n"/>
      <c r="I256" s="78" t="n"/>
      <c r="J256" s="78" t="n"/>
      <c r="K256" s="78" t="n"/>
      <c r="L256" s="78" t="n"/>
      <c r="M256" s="78" t="n"/>
      <c r="N256" s="78" t="n"/>
      <c r="O256" s="78" t="n"/>
      <c r="P256" s="78" t="n"/>
      <c r="Q256" s="78" t="n"/>
      <c r="R256" s="78" t="n"/>
      <c r="S256" s="78" t="n"/>
      <c r="T256" s="78" t="n"/>
      <c r="U256" s="78" t="n"/>
      <c r="V256" s="78" t="n"/>
      <c r="W256" s="78" t="n"/>
      <c r="X256" s="78" t="n"/>
    </row>
    <row r="257" ht="15" customHeight="1" s="150">
      <c r="A257" s="78" t="n"/>
      <c r="B257" s="78" t="n"/>
      <c r="C257" s="78" t="n"/>
      <c r="D257" s="78" t="n"/>
      <c r="E257" s="78" t="n"/>
      <c r="F257" s="78" t="n"/>
      <c r="G257" s="78" t="n"/>
      <c r="H257" s="78" t="n"/>
      <c r="I257" s="78" t="n"/>
      <c r="J257" s="78" t="n"/>
      <c r="K257" s="78" t="n"/>
      <c r="L257" s="78" t="n"/>
      <c r="M257" s="78" t="n"/>
      <c r="N257" s="78" t="n"/>
      <c r="O257" s="78" t="n"/>
      <c r="P257" s="78" t="n"/>
      <c r="Q257" s="78" t="n"/>
      <c r="R257" s="78" t="n"/>
      <c r="S257" s="78" t="n"/>
      <c r="T257" s="78" t="n"/>
      <c r="U257" s="78" t="n"/>
      <c r="V257" s="78" t="n"/>
      <c r="W257" s="78" t="n"/>
      <c r="X257" s="78" t="n"/>
    </row>
    <row r="258" ht="15" customHeight="1" s="150">
      <c r="A258" s="78" t="n"/>
      <c r="B258" s="78" t="n"/>
      <c r="C258" s="78" t="n"/>
      <c r="D258" s="78" t="n"/>
      <c r="E258" s="78" t="n"/>
      <c r="F258" s="78" t="n"/>
      <c r="G258" s="78" t="n"/>
      <c r="H258" s="78" t="n"/>
      <c r="I258" s="78" t="n"/>
      <c r="J258" s="78" t="n"/>
      <c r="K258" s="78" t="n"/>
      <c r="L258" s="78" t="n"/>
      <c r="M258" s="78" t="n"/>
      <c r="N258" s="78" t="n"/>
      <c r="O258" s="78" t="n"/>
      <c r="P258" s="78" t="n"/>
      <c r="Q258" s="78" t="n"/>
      <c r="R258" s="78" t="n"/>
      <c r="S258" s="78" t="n"/>
      <c r="T258" s="78" t="n"/>
      <c r="U258" s="78" t="n"/>
      <c r="V258" s="78" t="n"/>
      <c r="W258" s="78" t="n"/>
      <c r="X258" s="78" t="n"/>
    </row>
    <row r="259" ht="15" customHeight="1" s="150">
      <c r="A259" s="78" t="n"/>
      <c r="B259" s="78" t="n"/>
      <c r="C259" s="78" t="n"/>
      <c r="D259" s="78" t="n"/>
      <c r="E259" s="78" t="n"/>
      <c r="F259" s="78" t="n"/>
      <c r="G259" s="78" t="n"/>
      <c r="H259" s="78" t="n"/>
      <c r="I259" s="78" t="n"/>
      <c r="J259" s="78" t="n"/>
      <c r="K259" s="78" t="n"/>
      <c r="L259" s="78" t="n"/>
      <c r="M259" s="78" t="n"/>
      <c r="N259" s="78" t="n"/>
      <c r="O259" s="78" t="n"/>
      <c r="P259" s="78" t="n"/>
      <c r="Q259" s="78" t="n"/>
      <c r="R259" s="78" t="n"/>
      <c r="S259" s="78" t="n"/>
      <c r="T259" s="78" t="n"/>
      <c r="U259" s="78" t="n"/>
      <c r="V259" s="78" t="n"/>
      <c r="W259" s="78" t="n"/>
      <c r="X259" s="78" t="n"/>
    </row>
    <row r="260" ht="15" customHeight="1" s="150">
      <c r="A260" s="78" t="n"/>
      <c r="B260" s="78" t="n"/>
      <c r="C260" s="78" t="n"/>
      <c r="D260" s="78" t="n"/>
      <c r="E260" s="78" t="n"/>
      <c r="F260" s="78" t="n"/>
      <c r="G260" s="78" t="n"/>
      <c r="H260" s="78" t="n"/>
      <c r="I260" s="78" t="n"/>
      <c r="J260" s="78" t="n"/>
      <c r="K260" s="78" t="n"/>
      <c r="L260" s="78" t="n"/>
      <c r="M260" s="78" t="n"/>
      <c r="N260" s="78" t="n"/>
      <c r="O260" s="78" t="n"/>
      <c r="P260" s="78" t="n"/>
      <c r="Q260" s="78" t="n"/>
      <c r="R260" s="78" t="n"/>
      <c r="S260" s="78" t="n"/>
      <c r="T260" s="78" t="n"/>
      <c r="U260" s="78" t="n"/>
      <c r="V260" s="78" t="n"/>
      <c r="W260" s="78" t="n"/>
      <c r="X260" s="78" t="n"/>
    </row>
    <row r="261" ht="15" customHeight="1" s="150">
      <c r="A261" s="78" t="n"/>
      <c r="B261" s="78" t="n"/>
      <c r="C261" s="78" t="n"/>
      <c r="D261" s="78" t="n"/>
      <c r="E261" s="78" t="n"/>
      <c r="F261" s="78" t="n"/>
      <c r="G261" s="78" t="n"/>
      <c r="H261" s="78" t="n"/>
      <c r="I261" s="78" t="n"/>
      <c r="J261" s="78" t="n"/>
      <c r="K261" s="78" t="n"/>
      <c r="L261" s="78" t="n"/>
      <c r="M261" s="78" t="n"/>
      <c r="N261" s="78" t="n"/>
      <c r="O261" s="78" t="n"/>
      <c r="P261" s="78" t="n"/>
      <c r="Q261" s="78" t="n"/>
      <c r="R261" s="78" t="n"/>
      <c r="S261" s="78" t="n"/>
      <c r="T261" s="78" t="n"/>
      <c r="U261" s="78" t="n"/>
      <c r="V261" s="78" t="n"/>
      <c r="W261" s="78" t="n"/>
      <c r="X261" s="78" t="n"/>
    </row>
    <row r="262" ht="15" customHeight="1" s="150">
      <c r="A262" s="78" t="n"/>
      <c r="B262" s="78" t="n"/>
      <c r="C262" s="78" t="n"/>
      <c r="D262" s="78" t="n"/>
      <c r="E262" s="78" t="n"/>
      <c r="F262" s="78" t="n"/>
      <c r="G262" s="78" t="n"/>
      <c r="H262" s="78" t="n"/>
      <c r="I262" s="78" t="n"/>
      <c r="J262" s="78" t="n"/>
      <c r="K262" s="78" t="n"/>
      <c r="L262" s="78" t="n"/>
      <c r="M262" s="78" t="n"/>
      <c r="N262" s="78" t="n"/>
      <c r="O262" s="78" t="n"/>
      <c r="P262" s="78" t="n"/>
      <c r="Q262" s="78" t="n"/>
      <c r="R262" s="78" t="n"/>
      <c r="S262" s="78" t="n"/>
      <c r="T262" s="78" t="n"/>
      <c r="U262" s="78" t="n"/>
      <c r="V262" s="78" t="n"/>
      <c r="W262" s="78" t="n"/>
      <c r="X262" s="78" t="n"/>
    </row>
    <row r="263" ht="15" customHeight="1" s="150">
      <c r="A263" s="78" t="n"/>
      <c r="B263" s="78" t="n"/>
      <c r="C263" s="78" t="n"/>
      <c r="D263" s="78" t="n"/>
      <c r="E263" s="78" t="n"/>
      <c r="F263" s="78" t="n"/>
      <c r="G263" s="78" t="n"/>
      <c r="H263" s="78" t="n"/>
      <c r="I263" s="78" t="n"/>
      <c r="J263" s="78" t="n"/>
      <c r="K263" s="78" t="n"/>
      <c r="L263" s="78" t="n"/>
      <c r="M263" s="78" t="n"/>
      <c r="N263" s="78" t="n"/>
      <c r="O263" s="78" t="n"/>
      <c r="P263" s="78" t="n"/>
      <c r="Q263" s="78" t="n"/>
      <c r="R263" s="78" t="n"/>
      <c r="S263" s="78" t="n"/>
      <c r="T263" s="78" t="n"/>
      <c r="U263" s="78" t="n"/>
      <c r="V263" s="78" t="n"/>
      <c r="W263" s="78" t="n"/>
      <c r="X263" s="78" t="n"/>
    </row>
    <row r="264" ht="15" customHeight="1" s="150">
      <c r="A264" s="78" t="n"/>
      <c r="B264" s="78" t="n"/>
      <c r="C264" s="78" t="n"/>
      <c r="D264" s="78" t="n"/>
      <c r="E264" s="78" t="n"/>
      <c r="F264" s="78" t="n"/>
      <c r="G264" s="78" t="n"/>
      <c r="H264" s="78" t="n"/>
      <c r="I264" s="78" t="n"/>
      <c r="J264" s="78" t="n"/>
      <c r="K264" s="78" t="n"/>
      <c r="L264" s="78" t="n"/>
      <c r="M264" s="78" t="n"/>
      <c r="N264" s="78" t="n"/>
      <c r="O264" s="78" t="n"/>
      <c r="P264" s="78" t="n"/>
      <c r="Q264" s="78" t="n"/>
      <c r="R264" s="78" t="n"/>
      <c r="S264" s="78" t="n"/>
      <c r="T264" s="78" t="n"/>
      <c r="U264" s="78" t="n"/>
      <c r="V264" s="78" t="n"/>
      <c r="W264" s="78" t="n"/>
      <c r="X264" s="78" t="n"/>
    </row>
    <row r="265" ht="15" customHeight="1" s="150">
      <c r="A265" s="78" t="n"/>
      <c r="B265" s="78" t="n"/>
      <c r="C265" s="78" t="n"/>
      <c r="D265" s="78" t="n"/>
      <c r="E265" s="78" t="n"/>
      <c r="F265" s="78" t="n"/>
      <c r="G265" s="78" t="n"/>
      <c r="H265" s="78" t="n"/>
      <c r="I265" s="78" t="n"/>
      <c r="J265" s="78" t="n"/>
      <c r="K265" s="78" t="n"/>
      <c r="L265" s="78" t="n"/>
      <c r="M265" s="78" t="n"/>
      <c r="N265" s="78" t="n"/>
      <c r="O265" s="78" t="n"/>
      <c r="P265" s="78" t="n"/>
      <c r="Q265" s="78" t="n"/>
      <c r="R265" s="78" t="n"/>
      <c r="S265" s="78" t="n"/>
      <c r="T265" s="78" t="n"/>
      <c r="U265" s="78" t="n"/>
      <c r="V265" s="78" t="n"/>
      <c r="W265" s="78" t="n"/>
      <c r="X265" s="78" t="n"/>
    </row>
    <row r="266" ht="15" customHeight="1" s="150">
      <c r="A266" s="78" t="n"/>
      <c r="B266" s="78" t="n"/>
      <c r="C266" s="78" t="n"/>
      <c r="D266" s="78" t="n"/>
      <c r="E266" s="78" t="n"/>
      <c r="F266" s="78" t="n"/>
      <c r="G266" s="78" t="n"/>
      <c r="H266" s="78" t="n"/>
      <c r="I266" s="78" t="n"/>
      <c r="J266" s="78" t="n"/>
      <c r="K266" s="78" t="n"/>
      <c r="L266" s="78" t="n"/>
      <c r="M266" s="78" t="n"/>
      <c r="N266" s="78" t="n"/>
      <c r="O266" s="78" t="n"/>
      <c r="P266" s="78" t="n"/>
      <c r="Q266" s="78" t="n"/>
      <c r="R266" s="78" t="n"/>
      <c r="S266" s="78" t="n"/>
      <c r="T266" s="78" t="n"/>
      <c r="U266" s="78" t="n"/>
      <c r="V266" s="78" t="n"/>
      <c r="W266" s="78" t="n"/>
      <c r="X266" s="78" t="n"/>
    </row>
    <row r="267" ht="15" customHeight="1" s="150">
      <c r="A267" s="78" t="n"/>
      <c r="B267" s="78" t="n"/>
      <c r="C267" s="78" t="n"/>
      <c r="D267" s="78" t="n"/>
      <c r="E267" s="78" t="n"/>
      <c r="F267" s="78" t="n"/>
      <c r="G267" s="78" t="n"/>
      <c r="H267" s="78" t="n"/>
      <c r="I267" s="78" t="n"/>
      <c r="J267" s="78" t="n"/>
      <c r="K267" s="78" t="n"/>
      <c r="L267" s="78" t="n"/>
      <c r="M267" s="78" t="n"/>
      <c r="N267" s="78" t="n"/>
      <c r="O267" s="78" t="n"/>
      <c r="P267" s="78" t="n"/>
      <c r="Q267" s="78" t="n"/>
      <c r="R267" s="78" t="n"/>
      <c r="S267" s="78" t="n"/>
      <c r="T267" s="78" t="n"/>
      <c r="U267" s="78" t="n"/>
      <c r="V267" s="78" t="n"/>
      <c r="W267" s="78" t="n"/>
      <c r="X267" s="78" t="n"/>
    </row>
    <row r="268" ht="15" customHeight="1" s="150">
      <c r="A268" s="78" t="n"/>
      <c r="B268" s="78" t="n"/>
      <c r="C268" s="78" t="n"/>
      <c r="D268" s="78" t="n"/>
      <c r="E268" s="78" t="n"/>
      <c r="F268" s="78" t="n"/>
      <c r="G268" s="78" t="n"/>
      <c r="H268" s="78" t="n"/>
      <c r="I268" s="78" t="n"/>
      <c r="J268" s="78" t="n"/>
      <c r="K268" s="78" t="n"/>
      <c r="L268" s="78" t="n"/>
      <c r="M268" s="78" t="n"/>
      <c r="N268" s="78" t="n"/>
      <c r="O268" s="78" t="n"/>
      <c r="P268" s="78" t="n"/>
      <c r="Q268" s="78" t="n"/>
      <c r="R268" s="78" t="n"/>
      <c r="S268" s="78" t="n"/>
      <c r="T268" s="78" t="n"/>
      <c r="U268" s="78" t="n"/>
      <c r="V268" s="78" t="n"/>
      <c r="W268" s="78" t="n"/>
      <c r="X268" s="78" t="n"/>
    </row>
    <row r="269" ht="15" customHeight="1" s="150">
      <c r="A269" s="78" t="n"/>
      <c r="B269" s="78" t="n"/>
      <c r="C269" s="78" t="n"/>
      <c r="D269" s="78" t="n"/>
      <c r="E269" s="78" t="n"/>
      <c r="F269" s="78" t="n"/>
      <c r="G269" s="78" t="n"/>
      <c r="H269" s="78" t="n"/>
      <c r="I269" s="78" t="n"/>
      <c r="J269" s="78" t="n"/>
      <c r="K269" s="78" t="n"/>
      <c r="L269" s="78" t="n"/>
      <c r="M269" s="78" t="n"/>
      <c r="N269" s="78" t="n"/>
      <c r="O269" s="78" t="n"/>
      <c r="P269" s="78" t="n"/>
      <c r="Q269" s="78" t="n"/>
      <c r="R269" s="78" t="n"/>
      <c r="S269" s="78" t="n"/>
      <c r="T269" s="78" t="n"/>
      <c r="U269" s="78" t="n"/>
      <c r="V269" s="78" t="n"/>
      <c r="W269" s="78" t="n"/>
      <c r="X269" s="78" t="n"/>
    </row>
    <row r="270" ht="15" customHeight="1" s="150">
      <c r="A270" s="78" t="n"/>
      <c r="B270" s="78" t="n"/>
      <c r="C270" s="78" t="n"/>
      <c r="D270" s="78" t="n"/>
      <c r="E270" s="78" t="n"/>
      <c r="F270" s="78" t="n"/>
      <c r="G270" s="78" t="n"/>
      <c r="H270" s="78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  <c r="R270" s="78" t="n"/>
      <c r="S270" s="78" t="n"/>
      <c r="T270" s="78" t="n"/>
      <c r="U270" s="78" t="n"/>
      <c r="V270" s="78" t="n"/>
      <c r="W270" s="78" t="n"/>
      <c r="X270" s="78" t="n"/>
    </row>
    <row r="271" ht="15" customHeight="1" s="150">
      <c r="A271" s="78" t="n"/>
      <c r="B271" s="78" t="n"/>
      <c r="C271" s="78" t="n"/>
      <c r="D271" s="78" t="n"/>
      <c r="E271" s="78" t="n"/>
      <c r="F271" s="78" t="n"/>
      <c r="G271" s="78" t="n"/>
      <c r="H271" s="78" t="n"/>
      <c r="I271" s="78" t="n"/>
      <c r="J271" s="78" t="n"/>
      <c r="K271" s="78" t="n"/>
      <c r="L271" s="78" t="n"/>
      <c r="M271" s="78" t="n"/>
      <c r="N271" s="78" t="n"/>
      <c r="O271" s="78" t="n"/>
      <c r="P271" s="78" t="n"/>
      <c r="Q271" s="78" t="n"/>
      <c r="R271" s="78" t="n"/>
      <c r="S271" s="78" t="n"/>
      <c r="T271" s="78" t="n"/>
      <c r="U271" s="78" t="n"/>
      <c r="V271" s="78" t="n"/>
      <c r="W271" s="78" t="n"/>
      <c r="X271" s="78" t="n"/>
    </row>
    <row r="272" ht="15" customHeight="1" s="150">
      <c r="A272" s="78" t="n"/>
      <c r="B272" s="78" t="n"/>
      <c r="C272" s="78" t="n"/>
      <c r="D272" s="78" t="n"/>
      <c r="E272" s="78" t="n"/>
      <c r="F272" s="78" t="n"/>
      <c r="G272" s="78" t="n"/>
      <c r="H272" s="78" t="n"/>
      <c r="I272" s="78" t="n"/>
      <c r="J272" s="78" t="n"/>
      <c r="K272" s="78" t="n"/>
      <c r="L272" s="78" t="n"/>
      <c r="M272" s="78" t="n"/>
      <c r="N272" s="78" t="n"/>
      <c r="O272" s="78" t="n"/>
      <c r="P272" s="78" t="n"/>
      <c r="Q272" s="78" t="n"/>
      <c r="R272" s="78" t="n"/>
      <c r="S272" s="78" t="n"/>
      <c r="T272" s="78" t="n"/>
      <c r="U272" s="78" t="n"/>
      <c r="V272" s="78" t="n"/>
      <c r="W272" s="78" t="n"/>
      <c r="X272" s="78" t="n"/>
    </row>
    <row r="273" ht="15" customHeight="1" s="150">
      <c r="A273" s="78" t="n"/>
      <c r="B273" s="78" t="n"/>
      <c r="C273" s="78" t="n"/>
      <c r="D273" s="78" t="n"/>
      <c r="E273" s="78" t="n"/>
      <c r="F273" s="78" t="n"/>
      <c r="G273" s="78" t="n"/>
      <c r="H273" s="78" t="n"/>
      <c r="I273" s="78" t="n"/>
      <c r="J273" s="78" t="n"/>
      <c r="K273" s="78" t="n"/>
      <c r="L273" s="78" t="n"/>
      <c r="M273" s="78" t="n"/>
      <c r="N273" s="78" t="n"/>
      <c r="O273" s="78" t="n"/>
      <c r="P273" s="78" t="n"/>
      <c r="Q273" s="78" t="n"/>
      <c r="R273" s="78" t="n"/>
      <c r="S273" s="78" t="n"/>
      <c r="T273" s="78" t="n"/>
      <c r="U273" s="78" t="n"/>
      <c r="V273" s="78" t="n"/>
      <c r="W273" s="78" t="n"/>
      <c r="X273" s="78" t="n"/>
    </row>
    <row r="274" ht="15" customHeight="1" s="150">
      <c r="A274" s="78" t="n"/>
      <c r="B274" s="78" t="n"/>
      <c r="C274" s="78" t="n"/>
      <c r="D274" s="78" t="n"/>
      <c r="E274" s="78" t="n"/>
      <c r="F274" s="78" t="n"/>
      <c r="G274" s="78" t="n"/>
      <c r="H274" s="78" t="n"/>
      <c r="I274" s="78" t="n"/>
      <c r="J274" s="78" t="n"/>
      <c r="K274" s="78" t="n"/>
      <c r="L274" s="78" t="n"/>
      <c r="M274" s="78" t="n"/>
      <c r="N274" s="78" t="n"/>
      <c r="O274" s="78" t="n"/>
      <c r="P274" s="78" t="n"/>
      <c r="Q274" s="78" t="n"/>
      <c r="R274" s="78" t="n"/>
      <c r="S274" s="78" t="n"/>
      <c r="T274" s="78" t="n"/>
      <c r="U274" s="78" t="n"/>
      <c r="V274" s="78" t="n"/>
      <c r="W274" s="78" t="n"/>
      <c r="X274" s="78" t="n"/>
    </row>
    <row r="275" ht="15" customHeight="1" s="150">
      <c r="A275" s="78" t="n"/>
      <c r="B275" s="78" t="n"/>
      <c r="C275" s="78" t="n"/>
      <c r="D275" s="78" t="n"/>
      <c r="E275" s="78" t="n"/>
      <c r="F275" s="78" t="n"/>
      <c r="G275" s="78" t="n"/>
      <c r="H275" s="78" t="n"/>
      <c r="I275" s="78" t="n"/>
      <c r="J275" s="78" t="n"/>
      <c r="K275" s="78" t="n"/>
      <c r="L275" s="78" t="n"/>
      <c r="M275" s="78" t="n"/>
      <c r="N275" s="78" t="n"/>
      <c r="O275" s="78" t="n"/>
      <c r="P275" s="78" t="n"/>
      <c r="Q275" s="78" t="n"/>
      <c r="R275" s="78" t="n"/>
      <c r="S275" s="78" t="n"/>
      <c r="T275" s="78" t="n"/>
      <c r="U275" s="78" t="n"/>
      <c r="V275" s="78" t="n"/>
      <c r="W275" s="78" t="n"/>
      <c r="X275" s="78" t="n"/>
    </row>
    <row r="276" ht="15" customHeight="1" s="150">
      <c r="A276" s="78" t="n"/>
      <c r="B276" s="78" t="n"/>
      <c r="C276" s="78" t="n"/>
      <c r="D276" s="78" t="n"/>
      <c r="E276" s="78" t="n"/>
      <c r="F276" s="78" t="n"/>
      <c r="G276" s="78" t="n"/>
      <c r="H276" s="78" t="n"/>
      <c r="I276" s="78" t="n"/>
      <c r="J276" s="78" t="n"/>
      <c r="K276" s="78" t="n"/>
      <c r="L276" s="78" t="n"/>
      <c r="M276" s="78" t="n"/>
      <c r="N276" s="78" t="n"/>
      <c r="O276" s="78" t="n"/>
      <c r="P276" s="78" t="n"/>
      <c r="Q276" s="78" t="n"/>
      <c r="R276" s="78" t="n"/>
      <c r="S276" s="78" t="n"/>
      <c r="T276" s="78" t="n"/>
      <c r="U276" s="78" t="n"/>
      <c r="V276" s="78" t="n"/>
      <c r="W276" s="78" t="n"/>
      <c r="X276" s="78" t="n"/>
    </row>
    <row r="277" ht="15" customHeight="1" s="150">
      <c r="A277" s="78" t="n"/>
      <c r="B277" s="78" t="n"/>
      <c r="C277" s="78" t="n"/>
      <c r="D277" s="78" t="n"/>
      <c r="E277" s="78" t="n"/>
      <c r="F277" s="78" t="n"/>
      <c r="G277" s="78" t="n"/>
      <c r="H277" s="78" t="n"/>
      <c r="I277" s="78" t="n"/>
      <c r="J277" s="78" t="n"/>
      <c r="K277" s="78" t="n"/>
      <c r="L277" s="78" t="n"/>
      <c r="M277" s="78" t="n"/>
      <c r="N277" s="78" t="n"/>
      <c r="O277" s="78" t="n"/>
      <c r="P277" s="78" t="n"/>
      <c r="Q277" s="78" t="n"/>
      <c r="R277" s="78" t="n"/>
      <c r="S277" s="78" t="n"/>
      <c r="T277" s="78" t="n"/>
      <c r="U277" s="78" t="n"/>
      <c r="V277" s="78" t="n"/>
      <c r="W277" s="78" t="n"/>
      <c r="X277" s="78" t="n"/>
    </row>
    <row r="278" ht="15" customHeight="1" s="150">
      <c r="A278" s="78" t="n"/>
      <c r="B278" s="78" t="n"/>
      <c r="C278" s="78" t="n"/>
      <c r="D278" s="78" t="n"/>
      <c r="E278" s="78" t="n"/>
      <c r="F278" s="78" t="n"/>
      <c r="G278" s="78" t="n"/>
      <c r="H278" s="78" t="n"/>
      <c r="I278" s="78" t="n"/>
      <c r="J278" s="78" t="n"/>
      <c r="K278" s="78" t="n"/>
      <c r="L278" s="78" t="n"/>
      <c r="M278" s="78" t="n"/>
      <c r="N278" s="78" t="n"/>
      <c r="O278" s="78" t="n"/>
      <c r="P278" s="78" t="n"/>
      <c r="Q278" s="78" t="n"/>
      <c r="R278" s="78" t="n"/>
      <c r="S278" s="78" t="n"/>
      <c r="T278" s="78" t="n"/>
      <c r="U278" s="78" t="n"/>
      <c r="V278" s="78" t="n"/>
      <c r="W278" s="78" t="n"/>
      <c r="X278" s="78" t="n"/>
    </row>
    <row r="279" ht="15" customHeight="1" s="150">
      <c r="A279" s="78" t="n"/>
      <c r="B279" s="78" t="n"/>
      <c r="C279" s="78" t="n"/>
      <c r="D279" s="78" t="n"/>
      <c r="E279" s="78" t="n"/>
      <c r="F279" s="78" t="n"/>
      <c r="G279" s="78" t="n"/>
      <c r="H279" s="78" t="n"/>
      <c r="I279" s="78" t="n"/>
      <c r="J279" s="78" t="n"/>
      <c r="K279" s="78" t="n"/>
      <c r="L279" s="78" t="n"/>
      <c r="M279" s="78" t="n"/>
      <c r="N279" s="78" t="n"/>
      <c r="O279" s="78" t="n"/>
      <c r="P279" s="78" t="n"/>
      <c r="Q279" s="78" t="n"/>
      <c r="R279" s="78" t="n"/>
      <c r="S279" s="78" t="n"/>
      <c r="T279" s="78" t="n"/>
      <c r="U279" s="78" t="n"/>
      <c r="V279" s="78" t="n"/>
      <c r="W279" s="78" t="n"/>
      <c r="X279" s="78" t="n"/>
    </row>
    <row r="280" ht="15" customHeight="1" s="150">
      <c r="A280" s="78" t="n"/>
      <c r="B280" s="78" t="n"/>
      <c r="C280" s="78" t="n"/>
      <c r="D280" s="78" t="n"/>
      <c r="E280" s="78" t="n"/>
      <c r="F280" s="78" t="n"/>
      <c r="G280" s="78" t="n"/>
      <c r="H280" s="78" t="n"/>
      <c r="I280" s="78" t="n"/>
      <c r="J280" s="78" t="n"/>
      <c r="K280" s="78" t="n"/>
      <c r="L280" s="78" t="n"/>
      <c r="M280" s="78" t="n"/>
      <c r="N280" s="78" t="n"/>
      <c r="O280" s="78" t="n"/>
      <c r="P280" s="78" t="n"/>
      <c r="Q280" s="78" t="n"/>
      <c r="R280" s="78" t="n"/>
      <c r="S280" s="78" t="n"/>
      <c r="T280" s="78" t="n"/>
      <c r="U280" s="78" t="n"/>
      <c r="V280" s="78" t="n"/>
      <c r="W280" s="78" t="n"/>
      <c r="X280" s="78" t="n"/>
    </row>
    <row r="281" ht="15" customHeight="1" s="150">
      <c r="A281" s="78" t="n"/>
      <c r="B281" s="78" t="n"/>
      <c r="C281" s="78" t="n"/>
      <c r="D281" s="78" t="n"/>
      <c r="E281" s="78" t="n"/>
      <c r="F281" s="78" t="n"/>
      <c r="G281" s="78" t="n"/>
      <c r="H281" s="78" t="n"/>
      <c r="I281" s="78" t="n"/>
      <c r="J281" s="78" t="n"/>
      <c r="K281" s="78" t="n"/>
      <c r="L281" s="78" t="n"/>
      <c r="M281" s="78" t="n"/>
      <c r="N281" s="78" t="n"/>
      <c r="O281" s="78" t="n"/>
      <c r="P281" s="78" t="n"/>
      <c r="Q281" s="78" t="n"/>
      <c r="R281" s="78" t="n"/>
      <c r="S281" s="78" t="n"/>
      <c r="T281" s="78" t="n"/>
      <c r="U281" s="78" t="n"/>
      <c r="V281" s="78" t="n"/>
      <c r="W281" s="78" t="n"/>
      <c r="X281" s="78" t="n"/>
    </row>
    <row r="282" ht="15" customHeight="1" s="150">
      <c r="A282" s="78" t="n"/>
      <c r="B282" s="78" t="n"/>
      <c r="C282" s="78" t="n"/>
      <c r="D282" s="78" t="n"/>
      <c r="E282" s="78" t="n"/>
      <c r="F282" s="78" t="n"/>
      <c r="G282" s="78" t="n"/>
      <c r="H282" s="78" t="n"/>
      <c r="I282" s="78" t="n"/>
      <c r="J282" s="78" t="n"/>
      <c r="K282" s="78" t="n"/>
      <c r="L282" s="78" t="n"/>
      <c r="M282" s="78" t="n"/>
      <c r="N282" s="78" t="n"/>
      <c r="O282" s="78" t="n"/>
      <c r="P282" s="78" t="n"/>
      <c r="Q282" s="78" t="n"/>
      <c r="R282" s="78" t="n"/>
      <c r="S282" s="78" t="n"/>
      <c r="T282" s="78" t="n"/>
      <c r="U282" s="78" t="n"/>
      <c r="V282" s="78" t="n"/>
      <c r="W282" s="78" t="n"/>
      <c r="X282" s="78" t="n"/>
    </row>
    <row r="283" ht="15" customHeight="1" s="150">
      <c r="A283" s="78" t="n"/>
      <c r="B283" s="78" t="n"/>
      <c r="C283" s="78" t="n"/>
      <c r="D283" s="78" t="n"/>
      <c r="E283" s="78" t="n"/>
      <c r="F283" s="78" t="n"/>
      <c r="G283" s="78" t="n"/>
      <c r="H283" s="78" t="n"/>
      <c r="I283" s="78" t="n"/>
      <c r="J283" s="78" t="n"/>
      <c r="K283" s="78" t="n"/>
      <c r="L283" s="78" t="n"/>
      <c r="M283" s="78" t="n"/>
      <c r="N283" s="78" t="n"/>
      <c r="O283" s="78" t="n"/>
      <c r="P283" s="78" t="n"/>
      <c r="Q283" s="78" t="n"/>
      <c r="R283" s="78" t="n"/>
      <c r="S283" s="78" t="n"/>
      <c r="T283" s="78" t="n"/>
      <c r="U283" s="78" t="n"/>
      <c r="V283" s="78" t="n"/>
      <c r="W283" s="78" t="n"/>
      <c r="X283" s="78" t="n"/>
    </row>
    <row r="284" ht="15" customHeight="1" s="150">
      <c r="A284" s="78" t="n"/>
      <c r="B284" s="78" t="n"/>
      <c r="C284" s="78" t="n"/>
      <c r="D284" s="78" t="n"/>
      <c r="E284" s="78" t="n"/>
      <c r="F284" s="78" t="n"/>
      <c r="G284" s="78" t="n"/>
      <c r="H284" s="78" t="n"/>
      <c r="I284" s="78" t="n"/>
      <c r="J284" s="78" t="n"/>
      <c r="K284" s="78" t="n"/>
      <c r="L284" s="78" t="n"/>
      <c r="M284" s="78" t="n"/>
      <c r="N284" s="78" t="n"/>
      <c r="O284" s="78" t="n"/>
      <c r="P284" s="78" t="n"/>
      <c r="Q284" s="78" t="n"/>
      <c r="R284" s="78" t="n"/>
      <c r="S284" s="78" t="n"/>
      <c r="T284" s="78" t="n"/>
      <c r="U284" s="78" t="n"/>
      <c r="V284" s="78" t="n"/>
      <c r="W284" s="78" t="n"/>
      <c r="X284" s="78" t="n"/>
    </row>
    <row r="285" ht="15" customHeight="1" s="150">
      <c r="A285" s="78" t="n"/>
      <c r="B285" s="78" t="n"/>
      <c r="C285" s="78" t="n"/>
      <c r="D285" s="78" t="n"/>
      <c r="E285" s="78" t="n"/>
      <c r="F285" s="78" t="n"/>
      <c r="G285" s="78" t="n"/>
      <c r="H285" s="78" t="n"/>
      <c r="I285" s="78" t="n"/>
      <c r="J285" s="78" t="n"/>
      <c r="K285" s="78" t="n"/>
      <c r="L285" s="78" t="n"/>
      <c r="M285" s="78" t="n"/>
      <c r="N285" s="78" t="n"/>
      <c r="O285" s="78" t="n"/>
      <c r="P285" s="78" t="n"/>
      <c r="Q285" s="78" t="n"/>
      <c r="R285" s="78" t="n"/>
      <c r="S285" s="78" t="n"/>
      <c r="T285" s="78" t="n"/>
      <c r="U285" s="78" t="n"/>
      <c r="V285" s="78" t="n"/>
      <c r="W285" s="78" t="n"/>
      <c r="X285" s="78" t="n"/>
    </row>
    <row r="286" ht="15" customHeight="1" s="150">
      <c r="A286" s="78" t="n"/>
      <c r="B286" s="78" t="n"/>
      <c r="C286" s="78" t="n"/>
      <c r="D286" s="78" t="n"/>
      <c r="E286" s="78" t="n"/>
      <c r="F286" s="78" t="n"/>
      <c r="G286" s="78" t="n"/>
      <c r="H286" s="78" t="n"/>
      <c r="I286" s="78" t="n"/>
      <c r="J286" s="78" t="n"/>
      <c r="K286" s="78" t="n"/>
      <c r="L286" s="78" t="n"/>
      <c r="M286" s="78" t="n"/>
      <c r="N286" s="78" t="n"/>
      <c r="O286" s="78" t="n"/>
      <c r="P286" s="78" t="n"/>
      <c r="Q286" s="78" t="n"/>
      <c r="R286" s="78" t="n"/>
      <c r="S286" s="78" t="n"/>
      <c r="T286" s="78" t="n"/>
      <c r="U286" s="78" t="n"/>
      <c r="V286" s="78" t="n"/>
      <c r="W286" s="78" t="n"/>
      <c r="X286" s="78" t="n"/>
    </row>
    <row r="287" ht="15" customHeight="1" s="150">
      <c r="A287" s="78" t="n"/>
      <c r="B287" s="78" t="n"/>
      <c r="C287" s="78" t="n"/>
      <c r="D287" s="78" t="n"/>
      <c r="E287" s="78" t="n"/>
      <c r="F287" s="78" t="n"/>
      <c r="G287" s="78" t="n"/>
      <c r="H287" s="78" t="n"/>
      <c r="I287" s="78" t="n"/>
      <c r="J287" s="78" t="n"/>
      <c r="K287" s="78" t="n"/>
      <c r="L287" s="78" t="n"/>
      <c r="M287" s="78" t="n"/>
      <c r="N287" s="78" t="n"/>
      <c r="O287" s="78" t="n"/>
      <c r="P287" s="78" t="n"/>
      <c r="Q287" s="78" t="n"/>
      <c r="R287" s="78" t="n"/>
      <c r="S287" s="78" t="n"/>
      <c r="T287" s="78" t="n"/>
      <c r="U287" s="78" t="n"/>
      <c r="V287" s="78" t="n"/>
      <c r="W287" s="78" t="n"/>
      <c r="X287" s="78" t="n"/>
    </row>
    <row r="288" ht="15" customHeight="1" s="150">
      <c r="A288" s="78" t="n"/>
      <c r="B288" s="78" t="n"/>
      <c r="C288" s="78" t="n"/>
      <c r="D288" s="78" t="n"/>
      <c r="E288" s="78" t="n"/>
      <c r="F288" s="78" t="n"/>
      <c r="G288" s="78" t="n"/>
      <c r="H288" s="78" t="n"/>
      <c r="I288" s="78" t="n"/>
      <c r="J288" s="78" t="n"/>
      <c r="K288" s="78" t="n"/>
      <c r="L288" s="78" t="n"/>
      <c r="M288" s="78" t="n"/>
      <c r="N288" s="78" t="n"/>
      <c r="O288" s="78" t="n"/>
      <c r="P288" s="78" t="n"/>
      <c r="Q288" s="78" t="n"/>
      <c r="R288" s="78" t="n"/>
      <c r="S288" s="78" t="n"/>
      <c r="T288" s="78" t="n"/>
      <c r="U288" s="78" t="n"/>
      <c r="V288" s="78" t="n"/>
      <c r="W288" s="78" t="n"/>
      <c r="X288" s="78" t="n"/>
    </row>
    <row r="289" ht="15" customHeight="1" s="150">
      <c r="A289" s="78" t="n"/>
      <c r="B289" s="78" t="n"/>
      <c r="C289" s="78" t="n"/>
      <c r="D289" s="78" t="n"/>
      <c r="E289" s="78" t="n"/>
      <c r="F289" s="78" t="n"/>
      <c r="G289" s="78" t="n"/>
      <c r="H289" s="78" t="n"/>
      <c r="I289" s="78" t="n"/>
      <c r="J289" s="78" t="n"/>
      <c r="K289" s="78" t="n"/>
      <c r="L289" s="78" t="n"/>
      <c r="M289" s="78" t="n"/>
      <c r="N289" s="78" t="n"/>
      <c r="O289" s="78" t="n"/>
      <c r="P289" s="78" t="n"/>
      <c r="Q289" s="78" t="n"/>
      <c r="R289" s="78" t="n"/>
      <c r="S289" s="78" t="n"/>
      <c r="T289" s="78" t="n"/>
      <c r="U289" s="78" t="n"/>
      <c r="V289" s="78" t="n"/>
      <c r="W289" s="78" t="n"/>
      <c r="X289" s="78" t="n"/>
    </row>
    <row r="290" ht="15" customHeight="1" s="150">
      <c r="A290" s="78" t="n"/>
      <c r="B290" s="78" t="n"/>
      <c r="C290" s="78" t="n"/>
      <c r="D290" s="78" t="n"/>
      <c r="E290" s="78" t="n"/>
      <c r="F290" s="78" t="n"/>
      <c r="G290" s="78" t="n"/>
      <c r="H290" s="78" t="n"/>
      <c r="I290" s="78" t="n"/>
      <c r="J290" s="78" t="n"/>
      <c r="K290" s="78" t="n"/>
      <c r="L290" s="78" t="n"/>
      <c r="M290" s="78" t="n"/>
      <c r="N290" s="78" t="n"/>
      <c r="O290" s="78" t="n"/>
      <c r="P290" s="78" t="n"/>
      <c r="Q290" s="78" t="n"/>
      <c r="R290" s="78" t="n"/>
      <c r="S290" s="78" t="n"/>
      <c r="T290" s="78" t="n"/>
      <c r="U290" s="78" t="n"/>
      <c r="V290" s="78" t="n"/>
      <c r="W290" s="78" t="n"/>
      <c r="X290" s="78" t="n"/>
    </row>
    <row r="291" ht="15" customHeight="1" s="150">
      <c r="A291" s="78" t="n"/>
      <c r="B291" s="78" t="n"/>
      <c r="C291" s="78" t="n"/>
      <c r="D291" s="78" t="n"/>
      <c r="E291" s="78" t="n"/>
      <c r="F291" s="78" t="n"/>
      <c r="G291" s="78" t="n"/>
      <c r="H291" s="78" t="n"/>
      <c r="I291" s="78" t="n"/>
      <c r="J291" s="78" t="n"/>
      <c r="K291" s="78" t="n"/>
      <c r="L291" s="78" t="n"/>
      <c r="M291" s="78" t="n"/>
      <c r="N291" s="78" t="n"/>
      <c r="O291" s="78" t="n"/>
      <c r="P291" s="78" t="n"/>
      <c r="Q291" s="78" t="n"/>
      <c r="R291" s="78" t="n"/>
      <c r="S291" s="78" t="n"/>
      <c r="T291" s="78" t="n"/>
      <c r="U291" s="78" t="n"/>
      <c r="V291" s="78" t="n"/>
      <c r="W291" s="78" t="n"/>
      <c r="X291" s="78" t="n"/>
    </row>
    <row r="292" ht="15" customHeight="1" s="150">
      <c r="A292" s="78" t="n"/>
      <c r="B292" s="78" t="n"/>
      <c r="C292" s="78" t="n"/>
      <c r="D292" s="78" t="n"/>
      <c r="E292" s="78" t="n"/>
      <c r="F292" s="78" t="n"/>
      <c r="G292" s="78" t="n"/>
      <c r="H292" s="78" t="n"/>
      <c r="I292" s="78" t="n"/>
      <c r="J292" s="78" t="n"/>
      <c r="K292" s="78" t="n"/>
      <c r="L292" s="78" t="n"/>
      <c r="M292" s="78" t="n"/>
      <c r="N292" s="78" t="n"/>
      <c r="O292" s="78" t="n"/>
      <c r="P292" s="78" t="n"/>
      <c r="Q292" s="78" t="n"/>
      <c r="R292" s="78" t="n"/>
      <c r="S292" s="78" t="n"/>
      <c r="T292" s="78" t="n"/>
      <c r="U292" s="78" t="n"/>
      <c r="V292" s="78" t="n"/>
      <c r="W292" s="78" t="n"/>
      <c r="X292" s="78" t="n"/>
    </row>
    <row r="293" ht="15" customHeight="1" s="150">
      <c r="A293" s="78" t="n"/>
      <c r="B293" s="78" t="n"/>
      <c r="C293" s="78" t="n"/>
      <c r="D293" s="78" t="n"/>
      <c r="E293" s="78" t="n"/>
      <c r="F293" s="78" t="n"/>
      <c r="G293" s="78" t="n"/>
      <c r="H293" s="78" t="n"/>
      <c r="I293" s="78" t="n"/>
      <c r="J293" s="78" t="n"/>
      <c r="K293" s="78" t="n"/>
      <c r="L293" s="78" t="n"/>
      <c r="M293" s="78" t="n"/>
      <c r="N293" s="78" t="n"/>
      <c r="O293" s="78" t="n"/>
      <c r="P293" s="78" t="n"/>
      <c r="Q293" s="78" t="n"/>
      <c r="R293" s="78" t="n"/>
      <c r="S293" s="78" t="n"/>
      <c r="T293" s="78" t="n"/>
      <c r="U293" s="78" t="n"/>
      <c r="V293" s="78" t="n"/>
      <c r="W293" s="78" t="n"/>
      <c r="X293" s="78" t="n"/>
    </row>
    <row r="294" ht="15" customHeight="1" s="150">
      <c r="A294" s="78" t="n"/>
      <c r="B294" s="78" t="n"/>
      <c r="C294" s="78" t="n"/>
      <c r="D294" s="78" t="n"/>
      <c r="E294" s="78" t="n"/>
      <c r="F294" s="78" t="n"/>
      <c r="G294" s="78" t="n"/>
      <c r="H294" s="78" t="n"/>
      <c r="I294" s="78" t="n"/>
      <c r="J294" s="78" t="n"/>
      <c r="K294" s="78" t="n"/>
      <c r="L294" s="78" t="n"/>
      <c r="M294" s="78" t="n"/>
      <c r="N294" s="78" t="n"/>
      <c r="O294" s="78" t="n"/>
      <c r="P294" s="78" t="n"/>
      <c r="Q294" s="78" t="n"/>
      <c r="R294" s="78" t="n"/>
      <c r="S294" s="78" t="n"/>
      <c r="T294" s="78" t="n"/>
      <c r="U294" s="78" t="n"/>
      <c r="V294" s="78" t="n"/>
      <c r="W294" s="78" t="n"/>
      <c r="X294" s="78" t="n"/>
    </row>
    <row r="295" ht="15" customHeight="1" s="150">
      <c r="A295" s="78" t="n"/>
      <c r="B295" s="78" t="n"/>
      <c r="C295" s="78" t="n"/>
      <c r="D295" s="78" t="n"/>
      <c r="E295" s="78" t="n"/>
      <c r="F295" s="78" t="n"/>
      <c r="G295" s="78" t="n"/>
      <c r="H295" s="78" t="n"/>
      <c r="I295" s="78" t="n"/>
      <c r="J295" s="78" t="n"/>
      <c r="K295" s="78" t="n"/>
      <c r="L295" s="78" t="n"/>
      <c r="M295" s="78" t="n"/>
      <c r="N295" s="78" t="n"/>
      <c r="O295" s="78" t="n"/>
      <c r="P295" s="78" t="n"/>
      <c r="Q295" s="78" t="n"/>
      <c r="R295" s="78" t="n"/>
      <c r="S295" s="78" t="n"/>
      <c r="T295" s="78" t="n"/>
      <c r="U295" s="78" t="n"/>
      <c r="V295" s="78" t="n"/>
      <c r="W295" s="78" t="n"/>
      <c r="X295" s="78" t="n"/>
    </row>
    <row r="296" ht="15" customHeight="1" s="150">
      <c r="A296" s="78" t="n"/>
      <c r="B296" s="78" t="n"/>
      <c r="C296" s="78" t="n"/>
      <c r="D296" s="78" t="n"/>
      <c r="E296" s="78" t="n"/>
      <c r="F296" s="78" t="n"/>
      <c r="G296" s="78" t="n"/>
      <c r="H296" s="78" t="n"/>
      <c r="I296" s="78" t="n"/>
      <c r="J296" s="78" t="n"/>
      <c r="K296" s="78" t="n"/>
      <c r="L296" s="78" t="n"/>
      <c r="M296" s="78" t="n"/>
      <c r="N296" s="78" t="n"/>
      <c r="O296" s="78" t="n"/>
      <c r="P296" s="78" t="n"/>
      <c r="Q296" s="78" t="n"/>
      <c r="R296" s="78" t="n"/>
      <c r="S296" s="78" t="n"/>
      <c r="T296" s="78" t="n"/>
      <c r="U296" s="78" t="n"/>
      <c r="V296" s="78" t="n"/>
      <c r="W296" s="78" t="n"/>
      <c r="X296" s="78" t="n"/>
    </row>
    <row r="297" ht="15" customHeight="1" s="150">
      <c r="A297" s="78" t="n"/>
      <c r="B297" s="78" t="n"/>
      <c r="C297" s="78" t="n"/>
      <c r="D297" s="78" t="n"/>
      <c r="E297" s="78" t="n"/>
      <c r="F297" s="78" t="n"/>
      <c r="G297" s="78" t="n"/>
      <c r="H297" s="78" t="n"/>
      <c r="I297" s="78" t="n"/>
      <c r="J297" s="78" t="n"/>
      <c r="K297" s="78" t="n"/>
      <c r="L297" s="78" t="n"/>
      <c r="M297" s="78" t="n"/>
      <c r="N297" s="78" t="n"/>
      <c r="O297" s="78" t="n"/>
      <c r="P297" s="78" t="n"/>
      <c r="Q297" s="78" t="n"/>
      <c r="R297" s="78" t="n"/>
      <c r="S297" s="78" t="n"/>
      <c r="T297" s="78" t="n"/>
      <c r="U297" s="78" t="n"/>
      <c r="V297" s="78" t="n"/>
      <c r="W297" s="78" t="n"/>
      <c r="X297" s="78" t="n"/>
    </row>
    <row r="298" ht="15" customHeight="1" s="150">
      <c r="A298" s="78" t="n"/>
      <c r="B298" s="78" t="n"/>
      <c r="C298" s="78" t="n"/>
      <c r="D298" s="78" t="n"/>
      <c r="E298" s="78" t="n"/>
      <c r="F298" s="78" t="n"/>
      <c r="G298" s="78" t="n"/>
      <c r="H298" s="78" t="n"/>
      <c r="I298" s="78" t="n"/>
      <c r="J298" s="78" t="n"/>
      <c r="K298" s="78" t="n"/>
      <c r="L298" s="78" t="n"/>
      <c r="M298" s="78" t="n"/>
      <c r="N298" s="78" t="n"/>
      <c r="O298" s="78" t="n"/>
      <c r="P298" s="78" t="n"/>
      <c r="Q298" s="78" t="n"/>
      <c r="R298" s="78" t="n"/>
      <c r="S298" s="78" t="n"/>
      <c r="T298" s="78" t="n"/>
      <c r="U298" s="78" t="n"/>
      <c r="V298" s="78" t="n"/>
      <c r="W298" s="78" t="n"/>
      <c r="X298" s="78" t="n"/>
    </row>
    <row r="299" ht="15" customHeight="1" s="150">
      <c r="A299" s="78" t="n"/>
      <c r="B299" s="78" t="n"/>
      <c r="C299" s="78" t="n"/>
      <c r="D299" s="78" t="n"/>
      <c r="E299" s="78" t="n"/>
      <c r="F299" s="78" t="n"/>
      <c r="G299" s="78" t="n"/>
      <c r="H299" s="78" t="n"/>
      <c r="I299" s="78" t="n"/>
      <c r="J299" s="78" t="n"/>
      <c r="K299" s="78" t="n"/>
      <c r="L299" s="78" t="n"/>
      <c r="M299" s="78" t="n"/>
      <c r="N299" s="78" t="n"/>
      <c r="O299" s="78" t="n"/>
      <c r="P299" s="78" t="n"/>
      <c r="Q299" s="78" t="n"/>
      <c r="R299" s="78" t="n"/>
      <c r="S299" s="78" t="n"/>
      <c r="T299" s="78" t="n"/>
      <c r="U299" s="78" t="n"/>
      <c r="V299" s="78" t="n"/>
      <c r="W299" s="78" t="n"/>
      <c r="X299" s="78" t="n"/>
    </row>
    <row r="300" ht="15" customHeight="1" s="150">
      <c r="A300" s="78" t="n"/>
      <c r="B300" s="78" t="n"/>
      <c r="C300" s="78" t="n"/>
      <c r="D300" s="78" t="n"/>
      <c r="E300" s="78" t="n"/>
      <c r="F300" s="78" t="n"/>
      <c r="G300" s="78" t="n"/>
      <c r="H300" s="78" t="n"/>
      <c r="I300" s="78" t="n"/>
      <c r="J300" s="78" t="n"/>
      <c r="K300" s="78" t="n"/>
      <c r="L300" s="78" t="n"/>
      <c r="M300" s="78" t="n"/>
      <c r="N300" s="78" t="n"/>
      <c r="O300" s="78" t="n"/>
      <c r="P300" s="78" t="n"/>
      <c r="Q300" s="78" t="n"/>
      <c r="R300" s="78" t="n"/>
      <c r="S300" s="78" t="n"/>
      <c r="T300" s="78" t="n"/>
      <c r="U300" s="78" t="n"/>
      <c r="V300" s="78" t="n"/>
      <c r="W300" s="78" t="n"/>
      <c r="X300" s="78" t="n"/>
    </row>
    <row r="301" ht="15" customHeight="1" s="150">
      <c r="A301" s="78" t="n"/>
      <c r="B301" s="78" t="n"/>
      <c r="C301" s="78" t="n"/>
      <c r="D301" s="78" t="n"/>
      <c r="E301" s="78" t="n"/>
      <c r="F301" s="78" t="n"/>
      <c r="G301" s="78" t="n"/>
      <c r="H301" s="78" t="n"/>
      <c r="I301" s="78" t="n"/>
      <c r="J301" s="78" t="n"/>
      <c r="K301" s="78" t="n"/>
      <c r="L301" s="78" t="n"/>
      <c r="M301" s="78" t="n"/>
      <c r="N301" s="78" t="n"/>
      <c r="O301" s="78" t="n"/>
      <c r="P301" s="78" t="n"/>
      <c r="Q301" s="78" t="n"/>
      <c r="R301" s="78" t="n"/>
      <c r="S301" s="78" t="n"/>
      <c r="T301" s="78" t="n"/>
      <c r="U301" s="78" t="n"/>
      <c r="V301" s="78" t="n"/>
      <c r="W301" s="78" t="n"/>
      <c r="X301" s="78" t="n"/>
    </row>
    <row r="302" ht="15" customHeight="1" s="150">
      <c r="A302" s="78" t="n"/>
      <c r="B302" s="78" t="n"/>
      <c r="C302" s="78" t="n"/>
      <c r="D302" s="78" t="n"/>
      <c r="E302" s="78" t="n"/>
      <c r="F302" s="78" t="n"/>
      <c r="G302" s="78" t="n"/>
      <c r="H302" s="78" t="n"/>
      <c r="I302" s="78" t="n"/>
      <c r="J302" s="78" t="n"/>
      <c r="K302" s="78" t="n"/>
      <c r="L302" s="78" t="n"/>
      <c r="M302" s="78" t="n"/>
      <c r="N302" s="78" t="n"/>
      <c r="O302" s="78" t="n"/>
      <c r="P302" s="78" t="n"/>
      <c r="Q302" s="78" t="n"/>
      <c r="R302" s="78" t="n"/>
      <c r="S302" s="78" t="n"/>
      <c r="T302" s="78" t="n"/>
      <c r="U302" s="78" t="n"/>
      <c r="V302" s="78" t="n"/>
      <c r="W302" s="78" t="n"/>
      <c r="X302" s="78" t="n"/>
    </row>
    <row r="303" ht="15" customHeight="1" s="150">
      <c r="A303" s="78" t="n"/>
      <c r="B303" s="78" t="n"/>
      <c r="C303" s="78" t="n"/>
      <c r="D303" s="78" t="n"/>
      <c r="E303" s="78" t="n"/>
      <c r="F303" s="78" t="n"/>
      <c r="G303" s="78" t="n"/>
      <c r="H303" s="78" t="n"/>
      <c r="I303" s="78" t="n"/>
      <c r="J303" s="78" t="n"/>
      <c r="K303" s="78" t="n"/>
      <c r="L303" s="78" t="n"/>
      <c r="M303" s="78" t="n"/>
      <c r="N303" s="78" t="n"/>
      <c r="O303" s="78" t="n"/>
      <c r="P303" s="78" t="n"/>
      <c r="Q303" s="78" t="n"/>
      <c r="R303" s="78" t="n"/>
      <c r="S303" s="78" t="n"/>
      <c r="T303" s="78" t="n"/>
      <c r="U303" s="78" t="n"/>
      <c r="V303" s="78" t="n"/>
      <c r="W303" s="78" t="n"/>
      <c r="X303" s="78" t="n"/>
    </row>
    <row r="304" ht="15" customHeight="1" s="150">
      <c r="A304" s="78" t="n"/>
      <c r="B304" s="78" t="n"/>
      <c r="C304" s="78" t="n"/>
      <c r="D304" s="78" t="n"/>
      <c r="E304" s="78" t="n"/>
      <c r="F304" s="78" t="n"/>
      <c r="G304" s="78" t="n"/>
      <c r="H304" s="78" t="n"/>
      <c r="I304" s="78" t="n"/>
      <c r="J304" s="78" t="n"/>
      <c r="K304" s="78" t="n"/>
      <c r="L304" s="78" t="n"/>
      <c r="M304" s="78" t="n"/>
      <c r="N304" s="78" t="n"/>
      <c r="O304" s="78" t="n"/>
      <c r="P304" s="78" t="n"/>
      <c r="Q304" s="78" t="n"/>
      <c r="R304" s="78" t="n"/>
      <c r="S304" s="78" t="n"/>
      <c r="T304" s="78" t="n"/>
      <c r="U304" s="78" t="n"/>
      <c r="V304" s="78" t="n"/>
      <c r="W304" s="78" t="n"/>
      <c r="X304" s="78" t="n"/>
    </row>
    <row r="305" ht="15" customHeight="1" s="150">
      <c r="A305" s="78" t="n"/>
      <c r="B305" s="78" t="n"/>
      <c r="C305" s="78" t="n"/>
      <c r="D305" s="78" t="n"/>
      <c r="E305" s="78" t="n"/>
      <c r="F305" s="78" t="n"/>
      <c r="G305" s="78" t="n"/>
      <c r="H305" s="78" t="n"/>
      <c r="I305" s="78" t="n"/>
      <c r="J305" s="78" t="n"/>
      <c r="K305" s="78" t="n"/>
      <c r="L305" s="78" t="n"/>
      <c r="M305" s="78" t="n"/>
      <c r="N305" s="78" t="n"/>
      <c r="O305" s="78" t="n"/>
      <c r="P305" s="78" t="n"/>
      <c r="Q305" s="78" t="n"/>
      <c r="R305" s="78" t="n"/>
      <c r="S305" s="78" t="n"/>
      <c r="T305" s="78" t="n"/>
      <c r="U305" s="78" t="n"/>
      <c r="V305" s="78" t="n"/>
      <c r="W305" s="78" t="n"/>
      <c r="X305" s="78" t="n"/>
    </row>
    <row r="306" ht="15.75" customHeight="1" s="150"/>
    <row r="307" ht="15.75" customHeight="1" s="150"/>
    <row r="308" ht="15.75" customHeight="1" s="150"/>
    <row r="309" ht="15.75" customHeight="1" s="150"/>
    <row r="310" ht="15.75" customHeight="1" s="150"/>
    <row r="311" ht="15.75" customHeight="1" s="150"/>
    <row r="312" ht="15.75" customHeight="1" s="150"/>
    <row r="313" ht="15.75" customHeight="1" s="150"/>
    <row r="314" ht="15.75" customHeight="1" s="150"/>
    <row r="315" ht="15.75" customHeight="1" s="150"/>
    <row r="316" ht="15.75" customHeight="1" s="150"/>
    <row r="317" ht="15.75" customHeight="1" s="150"/>
    <row r="318" ht="15.75" customHeight="1" s="150"/>
    <row r="319" ht="15.75" customHeight="1" s="150"/>
    <row r="320" ht="15.75" customHeight="1" s="150"/>
    <row r="321" ht="15.75" customHeight="1" s="150"/>
    <row r="322" ht="15.75" customHeight="1" s="150"/>
    <row r="323" ht="15.75" customHeight="1" s="150"/>
    <row r="324" ht="15.75" customHeight="1" s="150"/>
    <row r="325" ht="15.75" customHeight="1" s="150"/>
    <row r="326" ht="15.75" customHeight="1" s="150"/>
    <row r="327" ht="15.75" customHeight="1" s="150"/>
    <row r="328" ht="15.75" customHeight="1" s="150"/>
    <row r="329" ht="15.75" customHeight="1" s="150"/>
    <row r="330" ht="15.75" customHeight="1" s="150"/>
    <row r="331" ht="15.75" customHeight="1" s="150"/>
    <row r="332" ht="15.75" customHeight="1" s="150"/>
    <row r="333" ht="15.75" customHeight="1" s="150"/>
    <row r="334" ht="15.75" customHeight="1" s="150"/>
    <row r="335" ht="15.75" customHeight="1" s="150"/>
    <row r="336" ht="15.75" customHeight="1" s="150"/>
    <row r="337" ht="15.75" customHeight="1" s="150"/>
    <row r="338" ht="15.75" customHeight="1" s="150"/>
    <row r="339" ht="15.75" customHeight="1" s="150"/>
    <row r="340" ht="15.75" customHeight="1" s="150"/>
    <row r="341" ht="15.75" customHeight="1" s="150"/>
    <row r="342" ht="15.75" customHeight="1" s="150"/>
    <row r="343" ht="15.75" customHeight="1" s="150"/>
    <row r="344" ht="15.75" customHeight="1" s="150"/>
    <row r="345" ht="15.75" customHeight="1" s="150"/>
    <row r="346" ht="15.75" customHeight="1" s="150"/>
    <row r="347" ht="15.75" customHeight="1" s="150"/>
    <row r="348" ht="15.75" customHeight="1" s="150"/>
    <row r="349" ht="15.75" customHeight="1" s="150"/>
    <row r="350" ht="15.75" customHeight="1" s="150"/>
    <row r="351" ht="15.75" customHeight="1" s="150"/>
    <row r="352" ht="15.75" customHeight="1" s="150"/>
    <row r="353" ht="15.75" customHeight="1" s="150"/>
    <row r="354" ht="15.75" customHeight="1" s="150"/>
    <row r="355" ht="15.75" customHeight="1" s="150"/>
    <row r="356" ht="15.75" customHeight="1" s="150"/>
    <row r="357" ht="15.75" customHeight="1" s="150"/>
    <row r="358" ht="15.75" customHeight="1" s="150"/>
    <row r="359" ht="15.75" customHeight="1" s="150"/>
    <row r="360" ht="15.75" customHeight="1" s="150"/>
    <row r="361" ht="15.75" customHeight="1" s="150"/>
    <row r="362" ht="15.75" customHeight="1" s="150"/>
    <row r="363" ht="15.75" customHeight="1" s="150"/>
    <row r="364" ht="15.75" customHeight="1" s="150"/>
    <row r="365" ht="15.75" customHeight="1" s="150"/>
    <row r="366" ht="15.75" customHeight="1" s="150"/>
    <row r="367" ht="15.75" customHeight="1" s="150"/>
    <row r="368" ht="15.75" customHeight="1" s="150"/>
    <row r="369" ht="15.75" customHeight="1" s="150"/>
    <row r="370" ht="15.75" customHeight="1" s="150"/>
    <row r="371" ht="15.75" customHeight="1" s="150"/>
    <row r="372" ht="15.75" customHeight="1" s="150"/>
    <row r="373" ht="15.75" customHeight="1" s="150"/>
    <row r="374" ht="15.75" customHeight="1" s="150"/>
    <row r="375" ht="15.75" customHeight="1" s="150"/>
    <row r="376" ht="15.75" customHeight="1" s="150"/>
    <row r="377" ht="15.75" customHeight="1" s="150"/>
    <row r="378" ht="15.75" customHeight="1" s="150"/>
    <row r="379" ht="15.75" customHeight="1" s="150"/>
    <row r="380" ht="15.75" customHeight="1" s="150"/>
    <row r="381" ht="15.75" customHeight="1" s="150"/>
    <row r="382" ht="15.75" customHeight="1" s="150"/>
    <row r="383" ht="15.75" customHeight="1" s="150"/>
    <row r="384" ht="15.75" customHeight="1" s="150"/>
    <row r="385" ht="15.75" customHeight="1" s="150"/>
    <row r="386" ht="15.75" customHeight="1" s="150"/>
    <row r="387" ht="15.75" customHeight="1" s="150"/>
    <row r="388" ht="15.75" customHeight="1" s="150"/>
    <row r="389" ht="15.75" customHeight="1" s="150"/>
    <row r="390" ht="15.75" customHeight="1" s="150"/>
    <row r="391" ht="15.75" customHeight="1" s="150"/>
    <row r="392" ht="15.75" customHeight="1" s="150"/>
    <row r="393" ht="15.75" customHeight="1" s="150"/>
    <row r="394" ht="15.75" customHeight="1" s="150"/>
    <row r="395" ht="15.75" customHeight="1" s="150"/>
    <row r="396" ht="15.75" customHeight="1" s="150"/>
    <row r="397" ht="15.75" customHeight="1" s="150"/>
    <row r="398" ht="15.75" customHeight="1" s="150"/>
    <row r="399" ht="15.75" customHeight="1" s="150"/>
    <row r="400" ht="15.75" customHeight="1" s="150"/>
    <row r="401" ht="15.75" customHeight="1" s="150"/>
    <row r="402" ht="15.75" customHeight="1" s="150"/>
    <row r="403" ht="15.75" customHeight="1" s="150"/>
    <row r="404" ht="15.75" customHeight="1" s="150"/>
    <row r="405" ht="15.75" customHeight="1" s="150"/>
    <row r="406" ht="15.75" customHeight="1" s="150"/>
    <row r="407" ht="15.75" customHeight="1" s="150"/>
    <row r="408" ht="15.75" customHeight="1" s="150"/>
    <row r="409" ht="15.75" customHeight="1" s="150"/>
    <row r="410" ht="15.75" customHeight="1" s="150"/>
    <row r="411" ht="15.75" customHeight="1" s="150"/>
    <row r="412" ht="15.75" customHeight="1" s="150"/>
    <row r="413" ht="15.75" customHeight="1" s="150"/>
    <row r="414" ht="15.75" customHeight="1" s="150"/>
    <row r="415" ht="15.75" customHeight="1" s="150"/>
    <row r="416" ht="15.75" customHeight="1" s="150"/>
    <row r="417" ht="15.75" customHeight="1" s="150"/>
    <row r="418" ht="15.75" customHeight="1" s="150"/>
    <row r="419" ht="15.75" customHeight="1" s="150"/>
    <row r="420" ht="15.75" customHeight="1" s="150"/>
    <row r="421" ht="15.75" customHeight="1" s="150"/>
    <row r="422" ht="15.75" customHeight="1" s="150"/>
    <row r="423" ht="15.75" customHeight="1" s="150"/>
    <row r="424" ht="15.75" customHeight="1" s="150"/>
    <row r="425" ht="15.75" customHeight="1" s="150"/>
    <row r="426" ht="15.75" customHeight="1" s="150"/>
    <row r="427" ht="15.75" customHeight="1" s="150"/>
    <row r="428" ht="15.75" customHeight="1" s="150"/>
    <row r="429" ht="15.75" customHeight="1" s="150"/>
    <row r="430" ht="15.75" customHeight="1" s="150"/>
    <row r="431" ht="15.75" customHeight="1" s="150"/>
    <row r="432" ht="15.75" customHeight="1" s="150"/>
    <row r="433" ht="15.75" customHeight="1" s="150"/>
    <row r="434" ht="15.75" customHeight="1" s="150"/>
    <row r="435" ht="15.75" customHeight="1" s="150"/>
    <row r="436" ht="15.75" customHeight="1" s="150"/>
    <row r="437" ht="15.75" customHeight="1" s="150"/>
    <row r="438" ht="15.75" customHeight="1" s="150"/>
    <row r="439" ht="15.75" customHeight="1" s="150"/>
    <row r="440" ht="15.75" customHeight="1" s="150"/>
    <row r="441" ht="15.75" customHeight="1" s="150"/>
    <row r="442" ht="15.75" customHeight="1" s="150"/>
    <row r="443" ht="15.75" customHeight="1" s="150"/>
    <row r="444" ht="15.75" customHeight="1" s="150"/>
    <row r="445" ht="15.75" customHeight="1" s="150"/>
    <row r="446" ht="15.75" customHeight="1" s="150"/>
    <row r="447" ht="15.75" customHeight="1" s="150"/>
    <row r="448" ht="15.75" customHeight="1" s="150"/>
    <row r="449" ht="15.75" customHeight="1" s="150"/>
    <row r="450" ht="15.75" customHeight="1" s="150"/>
    <row r="451" ht="15.75" customHeight="1" s="150"/>
    <row r="452" ht="15.75" customHeight="1" s="150"/>
    <row r="453" ht="15.75" customHeight="1" s="150"/>
    <row r="454" ht="15.75" customHeight="1" s="150"/>
    <row r="455" ht="15.75" customHeight="1" s="150"/>
    <row r="456" ht="15.75" customHeight="1" s="150"/>
    <row r="457" ht="15.75" customHeight="1" s="150"/>
    <row r="458" ht="15.75" customHeight="1" s="150"/>
    <row r="459" ht="15.75" customHeight="1" s="150"/>
    <row r="460" ht="15.75" customHeight="1" s="150"/>
    <row r="461" ht="15.75" customHeight="1" s="150"/>
    <row r="462" ht="15.75" customHeight="1" s="150"/>
    <row r="463" ht="15.75" customHeight="1" s="150"/>
    <row r="464" ht="15.75" customHeight="1" s="150"/>
    <row r="465" ht="15.75" customHeight="1" s="150"/>
    <row r="466" ht="15.75" customHeight="1" s="150"/>
    <row r="467" ht="15.75" customHeight="1" s="150"/>
    <row r="468" ht="15.75" customHeight="1" s="150"/>
    <row r="469" ht="15.75" customHeight="1" s="150"/>
    <row r="470" ht="15.75" customHeight="1" s="150"/>
    <row r="471" ht="15.75" customHeight="1" s="150"/>
    <row r="472" ht="15.75" customHeight="1" s="150"/>
    <row r="473" ht="15.75" customHeight="1" s="150"/>
    <row r="474" ht="15.75" customHeight="1" s="150"/>
    <row r="475" ht="15.75" customHeight="1" s="150"/>
    <row r="476" ht="15.75" customHeight="1" s="150"/>
    <row r="477" ht="15.75" customHeight="1" s="150"/>
    <row r="478" ht="15.75" customHeight="1" s="150"/>
    <row r="479" ht="15.75" customHeight="1" s="150"/>
    <row r="480" ht="15.75" customHeight="1" s="150"/>
    <row r="481" ht="15.75" customHeight="1" s="150"/>
    <row r="482" ht="15.75" customHeight="1" s="150"/>
    <row r="483" ht="15.75" customHeight="1" s="150"/>
    <row r="484" ht="15.75" customHeight="1" s="150"/>
    <row r="485" ht="15.75" customHeight="1" s="150"/>
    <row r="486" ht="15.75" customHeight="1" s="150"/>
    <row r="487" ht="15.75" customHeight="1" s="150"/>
    <row r="488" ht="15.75" customHeight="1" s="150"/>
    <row r="489" ht="15.75" customHeight="1" s="150"/>
    <row r="490" ht="15.75" customHeight="1" s="150"/>
    <row r="491" ht="15.75" customHeight="1" s="150"/>
    <row r="492" ht="15.75" customHeight="1" s="150"/>
    <row r="493" ht="15.75" customHeight="1" s="150"/>
    <row r="494" ht="15.75" customHeight="1" s="150"/>
    <row r="495" ht="15.75" customHeight="1" s="150"/>
    <row r="496" ht="15.75" customHeight="1" s="150"/>
    <row r="497" ht="15.75" customHeight="1" s="150"/>
    <row r="498" ht="15.75" customHeight="1" s="150"/>
    <row r="499" ht="15.75" customHeight="1" s="150"/>
    <row r="500" ht="15.75" customHeight="1" s="150"/>
    <row r="501" ht="15.75" customHeight="1" s="150"/>
    <row r="502" ht="15.75" customHeight="1" s="150"/>
    <row r="503" ht="15.75" customHeight="1" s="150"/>
    <row r="504" ht="15.75" customHeight="1" s="150"/>
    <row r="505" ht="15.75" customHeight="1" s="150"/>
    <row r="506" ht="15.75" customHeight="1" s="150"/>
    <row r="507" ht="15.75" customHeight="1" s="150"/>
    <row r="508" ht="15.75" customHeight="1" s="150"/>
    <row r="509" ht="15.75" customHeight="1" s="150"/>
    <row r="510" ht="15.75" customHeight="1" s="150"/>
    <row r="511" ht="15.75" customHeight="1" s="150"/>
    <row r="512" ht="15.75" customHeight="1" s="150"/>
    <row r="513" ht="15.75" customHeight="1" s="150"/>
    <row r="514" ht="15.75" customHeight="1" s="150"/>
    <row r="515" ht="15.75" customHeight="1" s="150"/>
    <row r="516" ht="15.75" customHeight="1" s="150"/>
    <row r="517" ht="15.75" customHeight="1" s="150"/>
    <row r="518" ht="15.75" customHeight="1" s="150"/>
    <row r="519" ht="15.75" customHeight="1" s="150"/>
    <row r="520" ht="15.75" customHeight="1" s="150"/>
    <row r="521" ht="15.75" customHeight="1" s="150"/>
    <row r="522" ht="15.75" customHeight="1" s="150"/>
    <row r="523" ht="15.75" customHeight="1" s="150"/>
    <row r="524" ht="15.75" customHeight="1" s="150"/>
    <row r="525" ht="15.75" customHeight="1" s="150"/>
    <row r="526" ht="15.75" customHeight="1" s="150"/>
    <row r="527" ht="15.75" customHeight="1" s="150"/>
    <row r="528" ht="15.75" customHeight="1" s="150"/>
    <row r="529" ht="15.75" customHeight="1" s="150"/>
    <row r="530" ht="15.75" customHeight="1" s="150"/>
    <row r="531" ht="15.75" customHeight="1" s="150"/>
    <row r="532" ht="15.75" customHeight="1" s="150"/>
    <row r="533" ht="15.75" customHeight="1" s="150"/>
    <row r="534" ht="15.75" customHeight="1" s="150"/>
    <row r="535" ht="15.75" customHeight="1" s="150"/>
    <row r="536" ht="15.75" customHeight="1" s="150"/>
    <row r="537" ht="15.75" customHeight="1" s="150"/>
    <row r="538" ht="15.75" customHeight="1" s="150"/>
    <row r="539" ht="15.75" customHeight="1" s="150"/>
    <row r="540" ht="15.75" customHeight="1" s="150"/>
    <row r="541" ht="15.75" customHeight="1" s="150"/>
    <row r="542" ht="15.75" customHeight="1" s="150"/>
    <row r="543" ht="15.75" customHeight="1" s="150"/>
    <row r="544" ht="15.75" customHeight="1" s="150"/>
    <row r="545" ht="15.75" customHeight="1" s="150"/>
    <row r="546" ht="15.75" customHeight="1" s="150"/>
    <row r="547" ht="15.75" customHeight="1" s="150"/>
    <row r="548" ht="15.75" customHeight="1" s="150"/>
    <row r="549" ht="15.75" customHeight="1" s="150"/>
    <row r="550" ht="15.75" customHeight="1" s="150"/>
    <row r="551" ht="15.75" customHeight="1" s="150"/>
    <row r="552" ht="15.75" customHeight="1" s="150"/>
    <row r="553" ht="15.75" customHeight="1" s="150"/>
    <row r="554" ht="15.75" customHeight="1" s="150"/>
    <row r="555" ht="15.75" customHeight="1" s="150"/>
    <row r="556" ht="15.75" customHeight="1" s="150"/>
    <row r="557" ht="15.75" customHeight="1" s="150"/>
    <row r="558" ht="15.75" customHeight="1" s="150"/>
    <row r="559" ht="15.75" customHeight="1" s="150"/>
    <row r="560" ht="15.75" customHeight="1" s="150"/>
    <row r="561" ht="15.75" customHeight="1" s="150"/>
    <row r="562" ht="15.75" customHeight="1" s="150"/>
    <row r="563" ht="15.75" customHeight="1" s="150"/>
    <row r="564" ht="15.75" customHeight="1" s="150"/>
    <row r="565" ht="15.75" customHeight="1" s="150"/>
    <row r="566" ht="15.75" customHeight="1" s="150"/>
    <row r="567" ht="15.75" customHeight="1" s="150"/>
    <row r="568" ht="15.75" customHeight="1" s="150"/>
    <row r="569" ht="15.75" customHeight="1" s="150"/>
    <row r="570" ht="15.75" customHeight="1" s="150"/>
    <row r="571" ht="15.75" customHeight="1" s="150"/>
    <row r="572" ht="15.75" customHeight="1" s="150"/>
    <row r="573" ht="15.75" customHeight="1" s="150"/>
    <row r="574" ht="15.75" customHeight="1" s="150"/>
    <row r="575" ht="15.75" customHeight="1" s="150"/>
    <row r="576" ht="15.75" customHeight="1" s="150"/>
    <row r="577" ht="15.75" customHeight="1" s="150"/>
    <row r="578" ht="15.75" customHeight="1" s="150"/>
    <row r="579" ht="15.75" customHeight="1" s="150"/>
    <row r="580" ht="15.75" customHeight="1" s="150"/>
    <row r="581" ht="15.75" customHeight="1" s="150"/>
    <row r="582" ht="15.75" customHeight="1" s="150"/>
    <row r="583" ht="15.75" customHeight="1" s="150"/>
    <row r="584" ht="15.75" customHeight="1" s="150"/>
    <row r="585" ht="15.75" customHeight="1" s="150"/>
    <row r="586" ht="15.75" customHeight="1" s="150"/>
    <row r="587" ht="15.75" customHeight="1" s="150"/>
    <row r="588" ht="15.75" customHeight="1" s="150"/>
    <row r="589" ht="15.75" customHeight="1" s="150"/>
    <row r="590" ht="15.75" customHeight="1" s="150"/>
    <row r="591" ht="15.75" customHeight="1" s="150"/>
    <row r="592" ht="15.75" customHeight="1" s="150"/>
    <row r="593" ht="15.75" customHeight="1" s="150"/>
    <row r="594" ht="15.75" customHeight="1" s="150"/>
    <row r="595" ht="15.75" customHeight="1" s="150"/>
    <row r="596" ht="15.75" customHeight="1" s="150"/>
    <row r="597" ht="15.75" customHeight="1" s="150"/>
    <row r="598" ht="15.75" customHeight="1" s="150"/>
    <row r="599" ht="15.75" customHeight="1" s="150"/>
    <row r="600" ht="15.75" customHeight="1" s="150"/>
    <row r="601" ht="15.75" customHeight="1" s="150"/>
    <row r="602" ht="15.75" customHeight="1" s="150"/>
    <row r="603" ht="15.75" customHeight="1" s="150"/>
    <row r="604" ht="15.75" customHeight="1" s="150"/>
    <row r="605" ht="15.75" customHeight="1" s="150"/>
    <row r="606" ht="15.75" customHeight="1" s="150"/>
    <row r="607" ht="15.75" customHeight="1" s="150"/>
    <row r="608" ht="15.75" customHeight="1" s="150"/>
    <row r="609" ht="15.75" customHeight="1" s="150"/>
    <row r="610" ht="15.75" customHeight="1" s="150"/>
    <row r="611" ht="15.75" customHeight="1" s="150"/>
    <row r="612" ht="15.75" customHeight="1" s="150"/>
    <row r="613" ht="15.75" customHeight="1" s="150"/>
    <row r="614" ht="15.75" customHeight="1" s="150"/>
    <row r="615" ht="15.75" customHeight="1" s="150"/>
    <row r="616" ht="15.75" customHeight="1" s="150"/>
    <row r="617" ht="15.75" customHeight="1" s="150"/>
    <row r="618" ht="15.75" customHeight="1" s="150"/>
    <row r="619" ht="15.75" customHeight="1" s="150"/>
    <row r="620" ht="15.75" customHeight="1" s="150"/>
    <row r="621" ht="15.75" customHeight="1" s="150"/>
    <row r="622" ht="15.75" customHeight="1" s="150"/>
    <row r="623" ht="15.75" customHeight="1" s="150"/>
    <row r="624" ht="15.75" customHeight="1" s="150"/>
    <row r="625" ht="15.75" customHeight="1" s="150"/>
    <row r="626" ht="15.75" customHeight="1" s="150"/>
    <row r="627" ht="15.75" customHeight="1" s="150"/>
    <row r="628" ht="15.75" customHeight="1" s="150"/>
    <row r="629" ht="15.75" customHeight="1" s="150"/>
    <row r="630" ht="15.75" customHeight="1" s="150"/>
    <row r="631" ht="15.75" customHeight="1" s="150"/>
    <row r="632" ht="15.75" customHeight="1" s="150"/>
    <row r="633" ht="15.75" customHeight="1" s="150"/>
    <row r="634" ht="15.75" customHeight="1" s="150"/>
    <row r="635" ht="15.75" customHeight="1" s="150"/>
    <row r="636" ht="15.75" customHeight="1" s="150"/>
    <row r="637" ht="15.75" customHeight="1" s="150"/>
    <row r="638" ht="15.75" customHeight="1" s="150"/>
    <row r="639" ht="15.75" customHeight="1" s="150"/>
    <row r="640" ht="15.75" customHeight="1" s="150"/>
    <row r="641" ht="15.75" customHeight="1" s="150"/>
    <row r="642" ht="15.75" customHeight="1" s="150"/>
    <row r="643" ht="15.75" customHeight="1" s="150"/>
    <row r="644" ht="15.75" customHeight="1" s="150"/>
    <row r="645" ht="15.75" customHeight="1" s="150"/>
    <row r="646" ht="15.75" customHeight="1" s="150"/>
    <row r="647" ht="15.75" customHeight="1" s="150"/>
    <row r="648" ht="15.75" customHeight="1" s="150"/>
    <row r="649" ht="15.75" customHeight="1" s="150"/>
    <row r="650" ht="15.75" customHeight="1" s="150"/>
    <row r="651" ht="15.75" customHeight="1" s="150"/>
    <row r="652" ht="15.75" customHeight="1" s="150"/>
    <row r="653" ht="15.75" customHeight="1" s="150"/>
    <row r="654" ht="15.75" customHeight="1" s="150"/>
    <row r="655" ht="15.75" customHeight="1" s="150"/>
    <row r="656" ht="15.75" customHeight="1" s="150"/>
    <row r="657" ht="15.75" customHeight="1" s="150"/>
    <row r="658" ht="15.75" customHeight="1" s="150"/>
    <row r="659" ht="15.75" customHeight="1" s="150"/>
    <row r="660" ht="15.75" customHeight="1" s="150"/>
    <row r="661" ht="15.75" customHeight="1" s="150"/>
    <row r="662" ht="15.75" customHeight="1" s="150"/>
    <row r="663" ht="15.75" customHeight="1" s="150"/>
    <row r="664" ht="15.75" customHeight="1" s="150"/>
    <row r="665" ht="15.75" customHeight="1" s="150"/>
    <row r="666" ht="15.75" customHeight="1" s="150"/>
    <row r="667" ht="15.75" customHeight="1" s="150"/>
    <row r="668" ht="15.75" customHeight="1" s="150"/>
    <row r="669" ht="15.75" customHeight="1" s="150"/>
    <row r="670" ht="15.75" customHeight="1" s="150"/>
    <row r="671" ht="15.75" customHeight="1" s="150"/>
    <row r="672" ht="15.75" customHeight="1" s="150"/>
    <row r="673" ht="15.75" customHeight="1" s="150"/>
    <row r="674" ht="15.75" customHeight="1" s="150"/>
    <row r="675" ht="15.75" customHeight="1" s="150"/>
    <row r="676" ht="15.75" customHeight="1" s="150"/>
    <row r="677" ht="15.75" customHeight="1" s="150"/>
    <row r="678" ht="15.75" customHeight="1" s="150"/>
    <row r="679" ht="15.75" customHeight="1" s="150"/>
    <row r="680" ht="15.75" customHeight="1" s="150"/>
    <row r="681" ht="15.75" customHeight="1" s="150"/>
    <row r="682" ht="15.75" customHeight="1" s="150"/>
    <row r="683" ht="15.75" customHeight="1" s="150"/>
    <row r="684" ht="15.75" customHeight="1" s="150"/>
    <row r="685" ht="15.75" customHeight="1" s="150"/>
    <row r="686" ht="15.75" customHeight="1" s="150"/>
    <row r="687" ht="15.75" customHeight="1" s="150"/>
    <row r="688" ht="15.75" customHeight="1" s="150"/>
    <row r="689" ht="15.75" customHeight="1" s="150"/>
    <row r="690" ht="15.75" customHeight="1" s="150"/>
    <row r="691" ht="15.75" customHeight="1" s="150"/>
    <row r="692" ht="15.75" customHeight="1" s="150"/>
    <row r="693" ht="15.75" customHeight="1" s="150"/>
    <row r="694" ht="15.75" customHeight="1" s="150"/>
    <row r="695" ht="15.75" customHeight="1" s="150"/>
    <row r="696" ht="15.75" customHeight="1" s="150"/>
    <row r="697" ht="15.75" customHeight="1" s="150"/>
    <row r="698" ht="15.75" customHeight="1" s="150"/>
    <row r="699" ht="15.75" customHeight="1" s="150"/>
    <row r="700" ht="15.75" customHeight="1" s="150"/>
    <row r="701" ht="15.75" customHeight="1" s="150"/>
    <row r="702" ht="15.75" customHeight="1" s="150"/>
    <row r="703" ht="15.75" customHeight="1" s="150"/>
    <row r="704" ht="15.75" customHeight="1" s="150"/>
    <row r="705" ht="15.75" customHeight="1" s="150"/>
    <row r="706" ht="15.75" customHeight="1" s="150"/>
    <row r="707" ht="15.75" customHeight="1" s="150"/>
    <row r="708" ht="15.75" customHeight="1" s="150"/>
    <row r="709" ht="15.75" customHeight="1" s="150"/>
    <row r="710" ht="15.75" customHeight="1" s="150"/>
    <row r="711" ht="15.75" customHeight="1" s="150"/>
    <row r="712" ht="15.75" customHeight="1" s="150"/>
    <row r="713" ht="15.75" customHeight="1" s="150"/>
    <row r="714" ht="15.75" customHeight="1" s="150"/>
    <row r="715" ht="15.75" customHeight="1" s="150"/>
    <row r="716" ht="15.75" customHeight="1" s="150"/>
    <row r="717" ht="15.75" customHeight="1" s="150"/>
    <row r="718" ht="15.75" customHeight="1" s="150"/>
    <row r="719" ht="15.75" customHeight="1" s="150"/>
    <row r="720" ht="15.75" customHeight="1" s="150"/>
    <row r="721" ht="15.75" customHeight="1" s="150"/>
    <row r="722" ht="15.75" customHeight="1" s="150"/>
    <row r="723" ht="15.75" customHeight="1" s="150"/>
    <row r="724" ht="15.75" customHeight="1" s="150"/>
    <row r="725" ht="15.75" customHeight="1" s="150"/>
    <row r="726" ht="15.75" customHeight="1" s="150"/>
    <row r="727" ht="15.75" customHeight="1" s="150"/>
    <row r="728" ht="15.75" customHeight="1" s="150"/>
    <row r="729" ht="15.75" customHeight="1" s="150"/>
    <row r="730" ht="15.75" customHeight="1" s="150"/>
    <row r="731" ht="15.75" customHeight="1" s="150"/>
    <row r="732" ht="15.75" customHeight="1" s="150"/>
    <row r="733" ht="15.75" customHeight="1" s="150"/>
    <row r="734" ht="15.75" customHeight="1" s="150"/>
    <row r="735" ht="15.75" customHeight="1" s="150"/>
    <row r="736" ht="15.75" customHeight="1" s="150"/>
    <row r="737" ht="15.75" customHeight="1" s="150"/>
    <row r="738" ht="15.75" customHeight="1" s="150"/>
    <row r="739" ht="15.75" customHeight="1" s="150"/>
    <row r="740" ht="15.75" customHeight="1" s="150"/>
    <row r="741" ht="15.75" customHeight="1" s="150"/>
    <row r="742" ht="15.75" customHeight="1" s="150"/>
    <row r="743" ht="15.75" customHeight="1" s="150"/>
    <row r="744" ht="15.75" customHeight="1" s="150"/>
    <row r="745" ht="15.75" customHeight="1" s="150"/>
    <row r="746" ht="15.75" customHeight="1" s="150"/>
    <row r="747" ht="15.75" customHeight="1" s="150"/>
    <row r="748" ht="15.75" customHeight="1" s="150"/>
    <row r="749" ht="15.75" customHeight="1" s="150"/>
    <row r="750" ht="15.75" customHeight="1" s="150"/>
    <row r="751" ht="15.75" customHeight="1" s="150"/>
    <row r="752" ht="15.75" customHeight="1" s="150"/>
    <row r="753" ht="15.75" customHeight="1" s="150"/>
    <row r="754" ht="15.75" customHeight="1" s="150"/>
    <row r="755" ht="15.75" customHeight="1" s="150"/>
    <row r="756" ht="15.75" customHeight="1" s="150"/>
    <row r="757" ht="15.75" customHeight="1" s="150"/>
    <row r="758" ht="15.75" customHeight="1" s="150"/>
    <row r="759" ht="15.75" customHeight="1" s="150"/>
    <row r="760" ht="15.75" customHeight="1" s="150"/>
    <row r="761" ht="15.75" customHeight="1" s="150"/>
    <row r="762" ht="15.75" customHeight="1" s="150"/>
    <row r="763" ht="15.75" customHeight="1" s="150"/>
    <row r="764" ht="15.75" customHeight="1" s="150"/>
    <row r="765" ht="15.75" customHeight="1" s="150"/>
    <row r="766" ht="15.75" customHeight="1" s="150"/>
    <row r="767" ht="15.75" customHeight="1" s="150"/>
    <row r="768" ht="15.75" customHeight="1" s="150"/>
    <row r="769" ht="15.75" customHeight="1" s="150"/>
    <row r="770" ht="15.75" customHeight="1" s="150"/>
    <row r="771" ht="15.75" customHeight="1" s="150"/>
    <row r="772" ht="15.75" customHeight="1" s="150"/>
    <row r="773" ht="15.75" customHeight="1" s="150"/>
    <row r="774" ht="15.75" customHeight="1" s="150"/>
    <row r="775" ht="15.75" customHeight="1" s="150"/>
    <row r="776" ht="15.75" customHeight="1" s="150"/>
    <row r="777" ht="15.75" customHeight="1" s="150"/>
    <row r="778" ht="15.75" customHeight="1" s="150"/>
    <row r="779" ht="15.75" customHeight="1" s="150"/>
    <row r="780" ht="15.75" customHeight="1" s="150"/>
    <row r="781" ht="15.75" customHeight="1" s="150"/>
    <row r="782" ht="15.75" customHeight="1" s="150"/>
    <row r="783" ht="15.75" customHeight="1" s="150"/>
    <row r="784" ht="15.75" customHeight="1" s="150"/>
    <row r="785" ht="15.75" customHeight="1" s="150"/>
    <row r="786" ht="15.75" customHeight="1" s="150"/>
    <row r="787" ht="15.75" customHeight="1" s="150"/>
    <row r="788" ht="15.75" customHeight="1" s="150"/>
    <row r="789" ht="15.75" customHeight="1" s="150"/>
    <row r="790" ht="15.75" customHeight="1" s="150"/>
    <row r="791" ht="15.75" customHeight="1" s="150"/>
    <row r="792" ht="15.75" customHeight="1" s="150"/>
    <row r="793" ht="15.75" customHeight="1" s="150"/>
    <row r="794" ht="15.75" customHeight="1" s="150"/>
    <row r="795" ht="15.75" customHeight="1" s="150"/>
    <row r="796" ht="15.75" customHeight="1" s="150"/>
    <row r="797" ht="15.75" customHeight="1" s="150"/>
    <row r="798" ht="15.75" customHeight="1" s="150"/>
    <row r="799" ht="15.75" customHeight="1" s="150"/>
    <row r="800" ht="15.75" customHeight="1" s="150"/>
    <row r="801" ht="15.75" customHeight="1" s="150"/>
    <row r="802" ht="15.75" customHeight="1" s="150"/>
    <row r="803" ht="15.75" customHeight="1" s="150"/>
    <row r="804" ht="15.75" customHeight="1" s="150"/>
    <row r="805" ht="15.75" customHeight="1" s="150"/>
    <row r="806" ht="15.75" customHeight="1" s="150"/>
    <row r="807" ht="15.75" customHeight="1" s="150"/>
    <row r="808" ht="15.75" customHeight="1" s="150"/>
    <row r="809" ht="15.75" customHeight="1" s="150"/>
    <row r="810" ht="15.75" customHeight="1" s="150"/>
    <row r="811" ht="15.75" customHeight="1" s="150"/>
    <row r="812" ht="15.75" customHeight="1" s="150"/>
    <row r="813" ht="15.75" customHeight="1" s="150"/>
    <row r="814" ht="15.75" customHeight="1" s="150"/>
    <row r="815" ht="15.75" customHeight="1" s="150"/>
    <row r="816" ht="15.75" customHeight="1" s="150"/>
    <row r="817" ht="15.75" customHeight="1" s="150"/>
    <row r="818" ht="15.75" customHeight="1" s="150"/>
    <row r="819" ht="15.75" customHeight="1" s="150"/>
    <row r="820" ht="15.75" customHeight="1" s="150"/>
    <row r="821" ht="15.75" customHeight="1" s="150"/>
    <row r="822" ht="15.75" customHeight="1" s="150"/>
    <row r="823" ht="15.75" customHeight="1" s="150"/>
    <row r="824" ht="15.75" customHeight="1" s="150"/>
    <row r="825" ht="15.75" customHeight="1" s="150"/>
    <row r="826" ht="15.75" customHeight="1" s="150"/>
    <row r="827" ht="15.75" customHeight="1" s="150"/>
    <row r="828" ht="15.75" customHeight="1" s="150"/>
    <row r="829" ht="15.75" customHeight="1" s="150"/>
    <row r="830" ht="15.75" customHeight="1" s="150"/>
    <row r="831" ht="15.75" customHeight="1" s="150"/>
    <row r="832" ht="15.75" customHeight="1" s="150"/>
    <row r="833" ht="15.75" customHeight="1" s="150"/>
    <row r="834" ht="15.75" customHeight="1" s="150"/>
    <row r="835" ht="15.75" customHeight="1" s="150"/>
    <row r="836" ht="15.75" customHeight="1" s="150"/>
    <row r="837" ht="15.75" customHeight="1" s="150"/>
    <row r="838" ht="15.75" customHeight="1" s="150"/>
    <row r="839" ht="15.75" customHeight="1" s="150"/>
    <row r="840" ht="15.75" customHeight="1" s="150"/>
    <row r="841" ht="15.75" customHeight="1" s="150"/>
    <row r="842" ht="15.75" customHeight="1" s="150"/>
    <row r="843" ht="15.75" customHeight="1" s="150"/>
    <row r="844" ht="15.75" customHeight="1" s="150"/>
    <row r="845" ht="15.75" customHeight="1" s="150"/>
    <row r="846" ht="15.75" customHeight="1" s="150"/>
    <row r="847" ht="15.75" customHeight="1" s="150"/>
    <row r="848" ht="15.75" customHeight="1" s="150"/>
    <row r="849" ht="15.75" customHeight="1" s="150"/>
    <row r="850" ht="15.75" customHeight="1" s="150"/>
    <row r="851" ht="15.75" customHeight="1" s="150"/>
    <row r="852" ht="15.75" customHeight="1" s="150"/>
    <row r="853" ht="15.75" customHeight="1" s="150"/>
    <row r="854" ht="15.75" customHeight="1" s="150"/>
    <row r="855" ht="15.75" customHeight="1" s="150"/>
    <row r="856" ht="15.75" customHeight="1" s="150"/>
    <row r="857" ht="15.75" customHeight="1" s="150"/>
    <row r="858" ht="15.75" customHeight="1" s="150"/>
    <row r="859" ht="15.75" customHeight="1" s="150"/>
    <row r="860" ht="15.75" customHeight="1" s="150"/>
    <row r="861" ht="15.75" customHeight="1" s="150"/>
    <row r="862" ht="15.75" customHeight="1" s="150"/>
    <row r="863" ht="15.75" customHeight="1" s="150"/>
    <row r="864" ht="15.75" customHeight="1" s="150"/>
    <row r="865" ht="15.75" customHeight="1" s="150"/>
    <row r="866" ht="15.75" customHeight="1" s="150"/>
    <row r="867" ht="15.75" customHeight="1" s="150"/>
    <row r="868" ht="15.75" customHeight="1" s="150"/>
    <row r="869" ht="15.75" customHeight="1" s="150"/>
    <row r="870" ht="15.75" customHeight="1" s="150"/>
    <row r="871" ht="15.75" customHeight="1" s="150"/>
    <row r="872" ht="15.75" customHeight="1" s="150"/>
    <row r="873" ht="15.75" customHeight="1" s="150"/>
    <row r="874" ht="15.75" customHeight="1" s="150"/>
    <row r="875" ht="15.75" customHeight="1" s="150"/>
    <row r="876" ht="15.75" customHeight="1" s="150"/>
    <row r="877" ht="15.75" customHeight="1" s="150"/>
    <row r="878" ht="15.75" customHeight="1" s="150"/>
    <row r="879" ht="15.75" customHeight="1" s="150"/>
    <row r="880" ht="15.75" customHeight="1" s="150"/>
    <row r="881" ht="15.75" customHeight="1" s="150"/>
    <row r="882" ht="15.75" customHeight="1" s="150"/>
    <row r="883" ht="15.75" customHeight="1" s="150"/>
    <row r="884" ht="15.75" customHeight="1" s="150"/>
    <row r="885" ht="15.75" customHeight="1" s="150"/>
    <row r="886" ht="15.75" customHeight="1" s="150"/>
    <row r="887" ht="15.75" customHeight="1" s="150"/>
    <row r="888" ht="15.75" customHeight="1" s="150"/>
    <row r="889" ht="15.75" customHeight="1" s="150"/>
    <row r="890" ht="15.75" customHeight="1" s="150"/>
    <row r="891" ht="15.75" customHeight="1" s="150"/>
    <row r="892" ht="15.75" customHeight="1" s="150"/>
    <row r="893" ht="15.75" customHeight="1" s="150"/>
    <row r="894" ht="15.75" customHeight="1" s="150"/>
    <row r="895" ht="15.75" customHeight="1" s="150"/>
    <row r="896" ht="15.75" customHeight="1" s="150"/>
    <row r="897" ht="15.75" customHeight="1" s="150"/>
    <row r="898" ht="15.75" customHeight="1" s="150"/>
    <row r="899" ht="15.75" customHeight="1" s="150"/>
    <row r="900" ht="15.75" customHeight="1" s="150"/>
    <row r="901" ht="15.75" customHeight="1" s="150"/>
    <row r="902" ht="15.75" customHeight="1" s="150"/>
    <row r="903" ht="15.75" customHeight="1" s="150"/>
    <row r="904" ht="15.75" customHeight="1" s="150"/>
    <row r="905" ht="15.75" customHeight="1" s="150"/>
    <row r="906" ht="15.75" customHeight="1" s="150"/>
    <row r="907" ht="15.75" customHeight="1" s="150"/>
    <row r="908" ht="15.75" customHeight="1" s="150"/>
    <row r="909" ht="15.75" customHeight="1" s="150"/>
    <row r="910" ht="15.75" customHeight="1" s="150"/>
    <row r="911" ht="15.75" customHeight="1" s="150"/>
    <row r="912" ht="15.75" customHeight="1" s="150"/>
    <row r="913" ht="15.75" customHeight="1" s="150"/>
    <row r="914" ht="15.75" customHeight="1" s="150"/>
    <row r="915" ht="15.75" customHeight="1" s="150"/>
    <row r="916" ht="15.75" customHeight="1" s="150"/>
    <row r="917" ht="15.75" customHeight="1" s="150"/>
    <row r="918" ht="15.75" customHeight="1" s="150"/>
    <row r="919" ht="15.75" customHeight="1" s="150"/>
    <row r="920" ht="15.75" customHeight="1" s="150"/>
    <row r="921" ht="15.75" customHeight="1" s="150"/>
    <row r="922" ht="15.75" customHeight="1" s="150"/>
    <row r="923" ht="15.75" customHeight="1" s="150"/>
    <row r="924" ht="15.75" customHeight="1" s="150"/>
    <row r="925" ht="15.75" customHeight="1" s="150"/>
    <row r="926" ht="15.75" customHeight="1" s="150"/>
    <row r="927" ht="15.75" customHeight="1" s="150"/>
    <row r="928" ht="15.75" customHeight="1" s="150"/>
    <row r="929" ht="15.75" customHeight="1" s="150"/>
    <row r="930" ht="15.75" customHeight="1" s="150"/>
    <row r="931" ht="15.75" customHeight="1" s="150"/>
    <row r="932" ht="15.75" customHeight="1" s="150"/>
    <row r="933" ht="15.75" customHeight="1" s="150"/>
    <row r="934" ht="15.75" customHeight="1" s="150"/>
    <row r="935" ht="15.75" customHeight="1" s="150"/>
    <row r="936" ht="15.75" customHeight="1" s="150"/>
    <row r="937" ht="15.75" customHeight="1" s="150"/>
    <row r="938" ht="15.75" customHeight="1" s="150"/>
    <row r="939" ht="15.75" customHeight="1" s="150"/>
    <row r="940" ht="15.75" customHeight="1" s="150"/>
    <row r="941" ht="15.75" customHeight="1" s="150"/>
    <row r="942" ht="15.75" customHeight="1" s="150"/>
    <row r="943" ht="15.75" customHeight="1" s="150"/>
    <row r="944" ht="15.75" customHeight="1" s="150"/>
    <row r="945" ht="15.75" customHeight="1" s="150"/>
    <row r="946" ht="15.75" customHeight="1" s="150"/>
    <row r="947" ht="15.75" customHeight="1" s="150"/>
    <row r="948" ht="15.75" customHeight="1" s="150"/>
    <row r="949" ht="15.75" customHeight="1" s="150"/>
    <row r="950" ht="15.75" customHeight="1" s="150"/>
    <row r="951" ht="15.75" customHeight="1" s="150"/>
    <row r="952" ht="15.75" customHeight="1" s="150"/>
    <row r="953" ht="15.75" customHeight="1" s="150"/>
    <row r="954" ht="15.75" customHeight="1" s="150"/>
    <row r="955" ht="15.75" customHeight="1" s="150"/>
    <row r="956" ht="15.75" customHeight="1" s="150"/>
    <row r="957" ht="15.75" customHeight="1" s="150"/>
    <row r="958" ht="15.75" customHeight="1" s="150"/>
    <row r="959" ht="15.75" customHeight="1" s="150"/>
    <row r="960" ht="15.75" customHeight="1" s="150"/>
    <row r="961" ht="15.75" customHeight="1" s="150"/>
    <row r="962" ht="15.75" customHeight="1" s="150"/>
    <row r="963" ht="15.75" customHeight="1" s="150"/>
    <row r="964" ht="15.75" customHeight="1" s="150"/>
    <row r="965" ht="15.75" customHeight="1" s="150"/>
    <row r="966" ht="15.75" customHeight="1" s="150"/>
    <row r="967" ht="15.75" customHeight="1" s="150"/>
    <row r="968" ht="15.75" customHeight="1" s="150"/>
    <row r="969" ht="15.75" customHeight="1" s="150"/>
    <row r="970" ht="15.75" customHeight="1" s="150"/>
    <row r="971" ht="15.75" customHeight="1" s="150"/>
    <row r="972" ht="15.75" customHeight="1" s="150"/>
    <row r="973" ht="15.75" customHeight="1" s="150"/>
    <row r="974" ht="15.75" customHeight="1" s="150"/>
    <row r="975" ht="15.75" customHeight="1" s="150"/>
    <row r="976" ht="15.75" customHeight="1" s="150"/>
    <row r="977" ht="15.75" customHeight="1" s="150"/>
    <row r="978" ht="15.75" customHeight="1" s="150"/>
    <row r="979" ht="15.75" customHeight="1" s="150"/>
    <row r="980" ht="15.75" customHeight="1" s="150"/>
    <row r="981" ht="15.75" customHeight="1" s="150"/>
    <row r="982" ht="15.75" customHeight="1" s="150"/>
    <row r="983" ht="15.75" customHeight="1" s="150"/>
    <row r="984" ht="15.75" customHeight="1" s="150"/>
    <row r="985" ht="15.75" customHeight="1" s="150"/>
    <row r="986" ht="15.75" customHeight="1" s="150"/>
    <row r="987" ht="15.75" customHeight="1" s="150"/>
    <row r="988" ht="15.75" customHeight="1" s="150"/>
    <row r="989" ht="15.75" customHeight="1" s="150"/>
    <row r="990" ht="15.75" customHeight="1" s="150"/>
    <row r="991" ht="15.75" customHeight="1" s="150"/>
    <row r="992" ht="15.75" customHeight="1" s="150"/>
    <row r="993" ht="15.75" customHeight="1" s="150"/>
  </sheetData>
  <mergeCells count="5">
    <mergeCell ref="B6:C6"/>
    <mergeCell ref="B2:C2"/>
    <mergeCell ref="B99:Q99"/>
    <mergeCell ref="B3:C3"/>
    <mergeCell ref="B5:C5"/>
  </mergeCells>
  <conditionalFormatting sqref="D9:O11 D39:O97 D103:O106 D109:O109 D112:O114 D116:O121 Q39:Q41">
    <cfRule type="cellIs" priority="1" operator="lessThan" dxfId="0">
      <formula>0</formula>
    </cfRule>
  </conditionalFormatting>
  <conditionalFormatting sqref="D14:O20">
    <cfRule type="cellIs" priority="2" operator="lessThan" dxfId="0">
      <formula>0</formula>
    </cfRule>
  </conditionalFormatting>
  <conditionalFormatting sqref="D23:O28">
    <cfRule type="cellIs" priority="3" operator="lessThan" dxfId="0">
      <formula>0</formula>
    </cfRule>
  </conditionalFormatting>
  <conditionalFormatting sqref="D30:O30 Q30">
    <cfRule type="cellIs" priority="4" operator="lessThan" dxfId="0">
      <formula>0</formula>
    </cfRule>
  </conditionalFormatting>
  <conditionalFormatting sqref="C41 D33:O37">
    <cfRule type="cellIs" priority="5" operator="lessThan" dxfId="0">
      <formula>0</formula>
    </cfRule>
  </conditionalFormatting>
  <conditionalFormatting sqref="Q9:Q11">
    <cfRule type="cellIs" priority="6" operator="lessThan" dxfId="0">
      <formula>0</formula>
    </cfRule>
  </conditionalFormatting>
  <conditionalFormatting sqref="Q14:Q20 Q33:Q37 Q55:Q61 Q85:Q91 Q93:Q97">
    <cfRule type="cellIs" priority="7" operator="lessThan" dxfId="0">
      <formula>0</formula>
    </cfRule>
  </conditionalFormatting>
  <conditionalFormatting sqref="Q23:Q28">
    <cfRule type="cellIs" priority="8" operator="lessThan" dxfId="0">
      <formula>0</formula>
    </cfRule>
  </conditionalFormatting>
  <conditionalFormatting sqref="Q43:Q53">
    <cfRule type="cellIs" priority="9" operator="lessThan" dxfId="0">
      <formula>0</formula>
    </cfRule>
  </conditionalFormatting>
  <conditionalFormatting sqref="Q63:Q69 Q71:Q83 Q103:Q110 Q112:Q123">
    <cfRule type="cellIs" priority="10" operator="lessThan" dxfId="0">
      <formula>0</formula>
    </cfRule>
  </conditionalFormatting>
  <hyperlinks>
    <hyperlink xmlns:r="http://schemas.openxmlformats.org/officeDocument/2006/relationships" ref="B11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2026-07-07T23:50:41Z</dcterms:created>
  <dcterms:modified xmlns:dcterms="http://purl.org/dc/terms/" xmlns:xsi="http://www.w3.org/2001/XMLSchema-instance" xsi:type="dcterms:W3CDTF">2026-07-07T23:50:43Z</dcterms:modified>
</cp:coreProperties>
</file>