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LEY 2026 Projections" sheetId="1" r:id="rId5"/>
    <sheet state="visible" name="Charley January 2026" sheetId="2" r:id="rId6"/>
    <sheet state="visible" name="Charley Febuary 2026" sheetId="3" r:id="rId7"/>
    <sheet state="visible" name="Charley March 2026" sheetId="4" r:id="rId8"/>
    <sheet state="visible" name="Charley April 2026" sheetId="5" r:id="rId9"/>
    <sheet state="visible" name="Syncify Charley June 2026" sheetId="6" r:id="rId10"/>
    <sheet state="visible" name="2026 Event Calendar" sheetId="7" r:id="rId11"/>
    <sheet state="visible" name="EXAMPLE Monthly Profit &amp; Loss" sheetId="8" r:id="rId12"/>
  </sheets>
  <definedNames/>
  <calcPr/>
</workbook>
</file>

<file path=xl/sharedStrings.xml><?xml version="1.0" encoding="utf-8"?>
<sst xmlns="http://schemas.openxmlformats.org/spreadsheetml/2006/main" count="1981" uniqueCount="144">
  <si>
    <t>Monthly Profit and Loss Statement Template Example</t>
  </si>
  <si>
    <t>COMPANY NAME</t>
  </si>
  <si>
    <t>Charley Forey</t>
  </si>
  <si>
    <t>TIME PERIOD REPRESENTED</t>
  </si>
  <si>
    <t>2026 Projection</t>
  </si>
  <si>
    <t>Updated on 12/31/2025</t>
  </si>
  <si>
    <t>TREND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</si>
  <si>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</si>
  <si>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</si>
  <si>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</si>
  <si>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</si>
  <si>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</si>
  <si>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</si>
  <si>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</si>
  <si>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</si>
  <si>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</si>
  <si>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</si>
  <si>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</si>
  <si>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</si>
  <si>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</si>
  <si>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NET PROFIT</t>
  </si>
  <si>
    <t>TOTAL EXPENSES</t>
  </si>
  <si>
    <t>PROFIT / LOSS</t>
  </si>
  <si>
    <t>REVENUE</t>
  </si>
  <si>
    <t>Trimble</t>
  </si>
  <si>
    <t>Bonus</t>
  </si>
  <si>
    <t>Pal &amp; Gal</t>
  </si>
  <si>
    <t>Construct.Chat</t>
  </si>
  <si>
    <t>Sales of Assets</t>
  </si>
  <si>
    <t>Other</t>
  </si>
  <si>
    <t>TOTAL REVENUE</t>
  </si>
  <si>
    <t>COST OF GOODS SOLD (COGS)</t>
  </si>
  <si>
    <t>Inventory Purchases</t>
  </si>
  <si>
    <t>Manufacturing Costs</t>
  </si>
  <si>
    <t>Shipping and Freight</t>
  </si>
  <si>
    <t>Warehouse Costs</t>
  </si>
  <si>
    <t>TOTAL COGS</t>
  </si>
  <si>
    <t>GROSS PROFIT</t>
  </si>
  <si>
    <t>Investments</t>
  </si>
  <si>
    <t>401k (Change to 17.5%)</t>
  </si>
  <si>
    <t>ESPP (Change to 8%)</t>
  </si>
  <si>
    <t>TOTAL REDUCTIONS</t>
  </si>
  <si>
    <t>EXPENSES</t>
  </si>
  <si>
    <t>EMPLOYEE AND LABOR</t>
  </si>
  <si>
    <t>Salaries</t>
  </si>
  <si>
    <t>Wages</t>
  </si>
  <si>
    <t>Benefits</t>
  </si>
  <si>
    <t>Pension/Retirement</t>
  </si>
  <si>
    <t>Commissions</t>
  </si>
  <si>
    <t>Workers Comp</t>
  </si>
  <si>
    <t>Contract Labor</t>
  </si>
  <si>
    <t>Training</t>
  </si>
  <si>
    <t>TOTAL EMPLOYEE AND LABOR EXPENSE</t>
  </si>
  <si>
    <t>PROFESSIONAL SERVICES</t>
  </si>
  <si>
    <t>Outside Services</t>
  </si>
  <si>
    <t>Accounting</t>
  </si>
  <si>
    <t>Legal</t>
  </si>
  <si>
    <t>TOTAL PROFESSIONAL SERVICES</t>
  </si>
  <si>
    <t>BANKING AND FINANCE</t>
  </si>
  <si>
    <t>IRS Debt (Payment Plan)  (Submitted Form 843 -$6700 / Next Interest)</t>
  </si>
  <si>
    <t>IRS Interest</t>
  </si>
  <si>
    <t>Loans (Collections) (Payment on 30th Each Month)</t>
  </si>
  <si>
    <t>Orion 59 (Collections) (Payment on 30th Each Month)</t>
  </si>
  <si>
    <t>TOTAL BANKING AND FINANCE</t>
  </si>
  <si>
    <t>GENERAL BUSINESS</t>
  </si>
  <si>
    <t xml:space="preserve">Rent and Mortgage </t>
  </si>
  <si>
    <t>Health Insurance</t>
  </si>
  <si>
    <t>Life Insurance</t>
  </si>
  <si>
    <t>Utilities</t>
  </si>
  <si>
    <t>Telecommunication</t>
  </si>
  <si>
    <t>Web Hosting</t>
  </si>
  <si>
    <t>Subscriptions</t>
  </si>
  <si>
    <t>Travel</t>
  </si>
  <si>
    <t>Meals</t>
  </si>
  <si>
    <t>Restaurants</t>
  </si>
  <si>
    <t>TOTAL GENERAL BUSINESS</t>
  </si>
  <si>
    <t>VEHICLE EXPENSE</t>
  </si>
  <si>
    <t>Gas</t>
  </si>
  <si>
    <t>Maintenance and Repairs</t>
  </si>
  <si>
    <t>Licensing</t>
  </si>
  <si>
    <t>Insurance</t>
  </si>
  <si>
    <t>TOTAL VEHICLE EXPENSE</t>
  </si>
  <si>
    <t>TAXES</t>
  </si>
  <si>
    <t>Income Tax</t>
  </si>
  <si>
    <t>TOTAL TAXES</t>
  </si>
  <si>
    <t>TOTALS</t>
  </si>
  <si>
    <t>DEBT</t>
  </si>
  <si>
    <t>CURRENT</t>
  </si>
  <si>
    <t>YTD PAID</t>
  </si>
  <si>
    <t>IRS (Payment Plan) (Submitted Form 843 -$6700 / Next Interest)</t>
  </si>
  <si>
    <t>TOTAL DEBT</t>
  </si>
  <si>
    <r>
      <rPr>
        <rFont val="Century Gothic"/>
        <b/>
        <color rgb="FFFFFFFF"/>
        <sz val="10.0"/>
        <u/>
      </rPr>
      <t>FORM 843</t>
    </r>
    <r>
      <rPr>
        <rFont val="Century Gothic"/>
        <b/>
        <color rgb="FFFFFFFF"/>
        <sz val="10.0"/>
      </rPr>
      <t xml:space="preserve"> (-$6700)</t>
    </r>
  </si>
  <si>
    <t>ASSETS</t>
  </si>
  <si>
    <t>YTD GAIN</t>
  </si>
  <si>
    <t>Trading Cards (Selling Basic Replaceable Cards To Mark)</t>
  </si>
  <si>
    <t>Vinyls (Selling Some at Dealer Show)</t>
  </si>
  <si>
    <t>Gold/Silver (Liquidating)</t>
  </si>
  <si>
    <t>Cash</t>
  </si>
  <si>
    <t xml:space="preserve">Robinhood </t>
  </si>
  <si>
    <t>401k (TRMB)</t>
  </si>
  <si>
    <t>401k (BorkerageLink)</t>
  </si>
  <si>
    <t>Car</t>
  </si>
  <si>
    <t>TOTAL ASSETS</t>
  </si>
  <si>
    <t>FICO 8 Credit Score</t>
  </si>
  <si>
    <t>Jan 2026 Actual</t>
  </si>
  <si>
    <t>Updated on 1/31/2026</t>
  </si>
  <si>
    <t>Investment</t>
  </si>
  <si>
    <r>
      <rPr>
        <rFont val="Century Gothic"/>
        <b/>
        <color rgb="FFFFFFFF"/>
        <sz val="10.0"/>
        <u/>
      </rPr>
      <t>FORM 843</t>
    </r>
    <r>
      <rPr>
        <rFont val="Century Gothic"/>
        <b/>
        <color rgb="FFFFFFFF"/>
        <sz val="10.0"/>
      </rPr>
      <t xml:space="preserve"> (-$6700)</t>
    </r>
  </si>
  <si>
    <t>Feb 2026 Actual</t>
  </si>
  <si>
    <r>
      <rPr>
        <rFont val="Century Gothic"/>
        <b/>
        <color rgb="FFFFFFFF"/>
        <sz val="10.0"/>
        <u/>
      </rPr>
      <t>FORM 843</t>
    </r>
    <r>
      <rPr>
        <rFont val="Century Gothic"/>
        <b/>
        <color rgb="FFFFFFFF"/>
        <sz val="10.0"/>
      </rPr>
      <t xml:space="preserve"> (-$6700)</t>
    </r>
  </si>
  <si>
    <t>March 2026 Actual</t>
  </si>
  <si>
    <t>Tool Runtime</t>
  </si>
  <si>
    <r>
      <rPr>
        <rFont val="Century Gothic"/>
        <b/>
        <color rgb="FFFFFFFF"/>
        <sz val="10.0"/>
        <u/>
      </rPr>
      <t>FORM 843</t>
    </r>
    <r>
      <rPr>
        <rFont val="Century Gothic"/>
        <b/>
        <color rgb="FFFFFFFF"/>
        <sz val="10.0"/>
      </rPr>
      <t xml:space="preserve"> (-$6700)</t>
    </r>
  </si>
  <si>
    <t>Trading Cards</t>
  </si>
  <si>
    <t>Vinyls</t>
  </si>
  <si>
    <t>April 2026 Actual</t>
  </si>
  <si>
    <t>Updated on 05/01/2026</t>
  </si>
  <si>
    <t>Business</t>
  </si>
  <si>
    <t>Other ($3000)</t>
  </si>
  <si>
    <t>Secured Loan (Build Credit)</t>
  </si>
  <si>
    <t>June 2026 Actual</t>
  </si>
  <si>
    <t>Updated on 07/03/2026</t>
  </si>
  <si>
    <t>Deposit</t>
  </si>
  <si>
    <t>Events</t>
  </si>
  <si>
    <t>FEBUARY</t>
  </si>
  <si>
    <t>January 30th</t>
  </si>
  <si>
    <t>S</t>
  </si>
  <si>
    <t>M</t>
  </si>
  <si>
    <t>T</t>
  </si>
  <si>
    <t>W</t>
  </si>
  <si>
    <t>F</t>
  </si>
  <si>
    <t>Febuary 25-27</t>
  </si>
  <si>
    <t>August 4-6</t>
  </si>
  <si>
    <t>November 9-11</t>
  </si>
  <si>
    <t>RETIREMENT</t>
  </si>
  <si>
    <t>401k</t>
  </si>
  <si>
    <t>ESPP</t>
  </si>
  <si>
    <t>IRS Debt</t>
  </si>
  <si>
    <t>Credit Card</t>
  </si>
  <si>
    <t>Orion 59</t>
  </si>
  <si>
    <t>Meals and Entertainment</t>
  </si>
  <si>
    <t>IRS</t>
  </si>
  <si>
    <r>
      <rPr>
        <rFont val="Century Gothic"/>
        <b/>
        <color rgb="FFFFFFFF"/>
        <sz val="10.0"/>
        <u/>
      </rPr>
      <t>FORM 843</t>
    </r>
    <r>
      <rPr>
        <rFont val="Century Gothic"/>
        <b/>
        <color rgb="FFFFFFFF"/>
        <sz val="10.0"/>
      </rPr>
      <t xml:space="preserve"> (-$14,000)</t>
    </r>
  </si>
  <si>
    <t>Gold/Silver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</si>
</sst>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_(&quot;$&quot;* #,##0_);_(&quot;$&quot;* \(#,##0\);_(&quot;$&quot;* &quot;-&quot;??_);_(@_)"/>
    <numFmt numFmtId="166" formatCode="&quot;$&quot;#,##0"/>
  </numFmts>
  <fonts count="35">
    <font>
      <sz val="11.0"/>
      <color rgb="FF000000"/>
      <name val="Calibri"/>
      <scheme val="minor"/>
    </font>
    <font>
      <b/>
      <sz val="22.0"/>
      <color rgb="FF595959"/>
      <name val="Century Gothic"/>
    </font>
    <font>
      <b/>
      <sz val="20.0"/>
      <color rgb="FF7F7F7F"/>
      <name val="Century Gothic"/>
    </font>
    <font>
      <sz val="12.0"/>
      <color rgb="FF000000"/>
      <name val="Arial"/>
    </font>
    <font>
      <b/>
      <sz val="10.0"/>
      <color theme="0"/>
      <name val="Century Gothic"/>
    </font>
    <font/>
    <font>
      <i/>
      <sz val="10.0"/>
      <color rgb="FF000000"/>
      <name val="Century Gothic"/>
    </font>
    <font>
      <sz val="12.0"/>
      <color rgb="FF000000"/>
      <name val="Calibri"/>
    </font>
    <font>
      <b/>
      <sz val="12.0"/>
      <color rgb="FF000000"/>
      <name val="Arial"/>
    </font>
    <font>
      <sz val="14.0"/>
      <color theme="1"/>
      <name val="Century Gothic"/>
    </font>
    <font>
      <b/>
      <sz val="10.0"/>
      <color rgb="FF000000"/>
      <name val="Century Gothic"/>
    </font>
    <font>
      <sz val="10.0"/>
      <color rgb="FF000000"/>
      <name val="Century Gothic"/>
    </font>
    <font>
      <b/>
      <sz val="12.0"/>
      <color theme="0"/>
      <name val="Century Gothic"/>
    </font>
    <font>
      <b/>
      <sz val="12.0"/>
      <color rgb="FF000000"/>
      <name val="Calibri"/>
    </font>
    <font>
      <b/>
      <sz val="12.0"/>
      <color rgb="FFFFFFFF"/>
      <name val="Century Gothic"/>
    </font>
    <font>
      <sz val="12.0"/>
      <color theme="1"/>
      <name val="Arial"/>
    </font>
    <font>
      <b/>
      <sz val="10.0"/>
      <color rgb="FFFFFFFF"/>
      <name val="Century Gothic"/>
    </font>
    <font>
      <b/>
      <u/>
      <sz val="22.0"/>
      <color rgb="FFFFFFFF"/>
      <name val="Century Gothic"/>
    </font>
    <font>
      <sz val="11.0"/>
      <color theme="1"/>
      <name val="Calibri"/>
    </font>
    <font>
      <b/>
      <color rgb="FFFFFFFF"/>
      <name val="Century Gothic"/>
    </font>
    <font>
      <b/>
      <u/>
      <sz val="10.0"/>
      <color rgb="FFFFFFFF"/>
      <name val="Century Gothic"/>
    </font>
    <font>
      <sz val="10.0"/>
      <color theme="1"/>
      <name val="Century Gothic"/>
    </font>
    <font>
      <color theme="1"/>
      <name val="Century Gothic"/>
    </font>
    <font>
      <b/>
      <sz val="25.0"/>
      <color theme="1"/>
      <name val="Calibri"/>
    </font>
    <font>
      <b/>
      <sz val="17.0"/>
      <color theme="1"/>
      <name val="Calibri"/>
    </font>
    <font>
      <b/>
      <sz val="16.0"/>
      <color theme="1"/>
      <name val="Calibri"/>
    </font>
    <font>
      <color theme="1"/>
      <name val="Calibri"/>
      <scheme val="minor"/>
    </font>
    <font>
      <b/>
      <color theme="1"/>
      <name val="Verdana"/>
    </font>
    <font>
      <b/>
      <color rgb="FFE06666"/>
      <name val="Calibri"/>
    </font>
    <font>
      <color theme="1"/>
      <name val="Calibri"/>
    </font>
    <font>
      <sz val="12.0"/>
      <color theme="1"/>
      <name val="Calibri"/>
    </font>
    <font>
      <sz val="13.0"/>
      <color rgb="FF000000"/>
      <name val="Calibri"/>
    </font>
    <font>
      <color rgb="FFE06666"/>
      <name val="Calibri"/>
    </font>
    <font>
      <color theme="1"/>
      <name val="Arial"/>
    </font>
    <font>
      <sz val="12.0"/>
      <color rgb="FF000000"/>
      <name val="Century Gothic"/>
    </font>
  </fonts>
  <fills count="2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71420"/>
        <bgColor rgb="FF071420"/>
      </patternFill>
    </fill>
    <fill>
      <patternFill patternType="solid">
        <fgColor rgb="FFB8D4EF"/>
        <bgColor rgb="FFB8D4EF"/>
      </patternFill>
    </fill>
    <fill>
      <patternFill patternType="solid">
        <fgColor rgb="FFD8D8D8"/>
        <bgColor rgb="FFD8D8D8"/>
      </patternFill>
    </fill>
    <fill>
      <patternFill patternType="solid">
        <fgColor rgb="FF0A1E30"/>
        <bgColor rgb="FF0A1E30"/>
      </patternFill>
    </fill>
    <fill>
      <patternFill patternType="solid">
        <fgColor rgb="FF00BD32"/>
        <bgColor rgb="FF00BD32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25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3" fontId="3" numFmtId="0" xfId="0" applyBorder="1" applyFill="1" applyFont="1"/>
    <xf borderId="2" fillId="4" fontId="4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0" fillId="0" fontId="6" numFmtId="0" xfId="0" applyAlignment="1" applyFont="1">
      <alignment horizontal="left" vertical="center"/>
    </xf>
    <xf borderId="1" fillId="3" fontId="7" numFmtId="0" xfId="0" applyBorder="1" applyFont="1"/>
    <xf borderId="1" fillId="3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ill="1" applyFont="1">
      <alignment horizontal="left" readingOrder="0" shrinkToFit="0" vertical="center" wrapText="1"/>
    </xf>
    <xf borderId="5" fillId="0" fontId="5" numFmtId="0" xfId="0" applyBorder="1" applyFont="1"/>
    <xf borderId="1" fillId="3" fontId="10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shrinkToFit="0" wrapText="1"/>
    </xf>
    <xf borderId="1" fillId="3" fontId="7" numFmtId="0" xfId="0" applyAlignment="1" applyBorder="1" applyFont="1">
      <alignment horizontal="left" shrinkToFit="0" wrapText="1"/>
    </xf>
    <xf borderId="0" fillId="0" fontId="11" numFmtId="0" xfId="0" applyAlignment="1" applyFont="1">
      <alignment readingOrder="0" shrinkToFit="0" wrapText="1"/>
    </xf>
    <xf borderId="6" fillId="6" fontId="4" numFmtId="0" xfId="0" applyAlignment="1" applyBorder="1" applyFill="1" applyFont="1">
      <alignment horizontal="center" vertical="center"/>
    </xf>
    <xf borderId="6" fillId="4" fontId="4" numFmtId="0" xfId="0" applyAlignment="1" applyBorder="1" applyFont="1">
      <alignment horizontal="right" vertical="center"/>
    </xf>
    <xf borderId="6" fillId="7" fontId="11" numFmtId="164" xfId="0" applyAlignment="1" applyBorder="1" applyFill="1" applyFont="1" applyNumberFormat="1">
      <alignment horizontal="left" vertical="center"/>
    </xf>
    <xf borderId="6" fillId="7" fontId="10" numFmtId="165" xfId="0" applyAlignment="1" applyBorder="1" applyFont="1" applyNumberFormat="1">
      <alignment horizontal="left" vertical="center"/>
    </xf>
    <xf borderId="1" fillId="3" fontId="11" numFmtId="164" xfId="0" applyAlignment="1" applyBorder="1" applyFont="1" applyNumberFormat="1">
      <alignment horizontal="left" vertical="center"/>
    </xf>
    <xf borderId="1" fillId="7" fontId="11" numFmtId="164" xfId="0" applyAlignment="1" applyBorder="1" applyFont="1" applyNumberFormat="1">
      <alignment horizontal="left" vertical="center"/>
    </xf>
    <xf borderId="7" fillId="7" fontId="10" numFmtId="165" xfId="0" applyAlignment="1" applyBorder="1" applyFont="1" applyNumberFormat="1">
      <alignment horizontal="left" vertical="center"/>
    </xf>
    <xf borderId="8" fillId="8" fontId="11" numFmtId="164" xfId="0" applyAlignment="1" applyBorder="1" applyFill="1" applyFont="1" applyNumberFormat="1">
      <alignment horizontal="left" vertical="center"/>
    </xf>
    <xf borderId="8" fillId="8" fontId="10" numFmtId="165" xfId="0" applyAlignment="1" applyBorder="1" applyFont="1" applyNumberFormat="1">
      <alignment horizontal="left" vertical="center"/>
    </xf>
    <xf borderId="9" fillId="6" fontId="12" numFmtId="0" xfId="0" applyAlignment="1" applyBorder="1" applyFont="1">
      <alignment horizontal="left" vertical="center"/>
    </xf>
    <xf borderId="6" fillId="9" fontId="4" numFmtId="0" xfId="0" applyAlignment="1" applyBorder="1" applyFill="1" applyFont="1">
      <alignment horizontal="center" vertical="center"/>
    </xf>
    <xf borderId="6" fillId="5" fontId="11" numFmtId="0" xfId="0" applyAlignment="1" applyBorder="1" applyFont="1">
      <alignment horizontal="left" readingOrder="0" vertical="center"/>
    </xf>
    <xf borderId="6" fillId="0" fontId="11" numFmtId="164" xfId="0" applyAlignment="1" applyBorder="1" applyFont="1" applyNumberFormat="1">
      <alignment horizontal="left" vertical="center"/>
    </xf>
    <xf borderId="6" fillId="3" fontId="11" numFmtId="165" xfId="0" applyAlignment="1" applyBorder="1" applyFont="1" applyNumberFormat="1">
      <alignment horizontal="left" readingOrder="0" vertical="center"/>
    </xf>
    <xf borderId="6" fillId="3" fontId="11" numFmtId="165" xfId="0" applyAlignment="1" applyBorder="1" applyFont="1" applyNumberFormat="1">
      <alignment horizontal="left" vertical="center"/>
    </xf>
    <xf borderId="1" fillId="3" fontId="13" numFmtId="0" xfId="0" applyBorder="1" applyFont="1"/>
    <xf borderId="6" fillId="5" fontId="11" numFmtId="0" xfId="0" applyAlignment="1" applyBorder="1" applyFont="1">
      <alignment horizontal="left" vertical="center"/>
    </xf>
    <xf borderId="6" fillId="5" fontId="11" numFmtId="165" xfId="0" applyAlignment="1" applyBorder="1" applyFont="1" applyNumberFormat="1">
      <alignment horizontal="left" readingOrder="0" vertical="center"/>
    </xf>
    <xf borderId="6" fillId="5" fontId="11" numFmtId="165" xfId="0" applyAlignment="1" applyBorder="1" applyFont="1" applyNumberFormat="1">
      <alignment horizontal="left" vertical="center"/>
    </xf>
    <xf borderId="1" fillId="3" fontId="11" numFmtId="10" xfId="0" applyAlignment="1" applyBorder="1" applyFont="1" applyNumberFormat="1">
      <alignment horizontal="left" vertical="center"/>
    </xf>
    <xf borderId="9" fillId="6" fontId="14" numFmtId="0" xfId="0" applyAlignment="1" applyBorder="1" applyFont="1">
      <alignment horizontal="left" readingOrder="0" vertical="center"/>
    </xf>
    <xf borderId="1" fillId="3" fontId="7" numFmtId="9" xfId="0" applyAlignment="1" applyBorder="1" applyFont="1" applyNumberFormat="1">
      <alignment readingOrder="0"/>
    </xf>
    <xf borderId="10" fillId="6" fontId="4" numFmtId="0" xfId="0" applyAlignment="1" applyBorder="1" applyFont="1">
      <alignment vertical="center"/>
    </xf>
    <xf borderId="11" fillId="6" fontId="4" numFmtId="0" xfId="0" applyAlignment="1" applyBorder="1" applyFont="1">
      <alignment vertical="center"/>
    </xf>
    <xf borderId="6" fillId="6" fontId="4" numFmtId="0" xfId="0" applyAlignment="1" applyBorder="1" applyFont="1">
      <alignment vertical="center"/>
    </xf>
    <xf borderId="12" fillId="9" fontId="4" numFmtId="0" xfId="0" applyAlignment="1" applyBorder="1" applyFont="1">
      <alignment horizontal="left" vertical="center"/>
    </xf>
    <xf borderId="13" fillId="9" fontId="4" numFmtId="0" xfId="0" applyAlignment="1" applyBorder="1" applyFont="1">
      <alignment horizontal="center" vertical="center"/>
    </xf>
    <xf borderId="1" fillId="3" fontId="3" numFmtId="0" xfId="0" applyAlignment="1" applyBorder="1" applyFont="1">
      <alignment vertical="center"/>
    </xf>
    <xf borderId="0" fillId="0" fontId="15" numFmtId="0" xfId="0" applyFont="1"/>
    <xf borderId="1" fillId="3" fontId="11" numFmtId="0" xfId="0" applyAlignment="1" applyBorder="1" applyFont="1">
      <alignment horizontal="left" vertical="center"/>
    </xf>
    <xf borderId="9" fillId="9" fontId="4" numFmtId="0" xfId="0" applyAlignment="1" applyBorder="1" applyFont="1">
      <alignment horizontal="left" vertical="center"/>
    </xf>
    <xf borderId="9" fillId="9" fontId="16" numFmtId="0" xfId="0" applyAlignment="1" applyBorder="1" applyFont="1">
      <alignment horizontal="left" readingOrder="0" vertical="center"/>
    </xf>
    <xf borderId="14" fillId="3" fontId="11" numFmtId="0" xfId="0" applyAlignment="1" applyBorder="1" applyFont="1">
      <alignment horizontal="left" vertical="center"/>
    </xf>
    <xf borderId="14" fillId="3" fontId="7" numFmtId="0" xfId="0" applyBorder="1" applyFont="1"/>
    <xf borderId="9" fillId="9" fontId="12" numFmtId="0" xfId="0" applyAlignment="1" applyBorder="1" applyFont="1">
      <alignment horizontal="left" vertical="center"/>
    </xf>
    <xf borderId="1" fillId="3" fontId="8" numFmtId="0" xfId="0" applyAlignment="1" applyBorder="1" applyFont="1">
      <alignment vertical="center"/>
    </xf>
    <xf borderId="15" fillId="10" fontId="17" numFmtId="0" xfId="0" applyAlignment="1" applyBorder="1" applyFill="1" applyFont="1">
      <alignment horizontal="center" readingOrder="0" vertical="center"/>
    </xf>
    <xf borderId="16" fillId="0" fontId="5" numFmtId="0" xfId="0" applyBorder="1" applyFont="1"/>
    <xf borderId="17" fillId="0" fontId="5" numFmtId="0" xfId="0" applyBorder="1" applyFont="1"/>
    <xf borderId="1" fillId="3" fontId="18" numFmtId="0" xfId="0" applyAlignment="1" applyBorder="1" applyFont="1">
      <alignment vertical="bottom"/>
    </xf>
    <xf borderId="9" fillId="9" fontId="14" numFmtId="0" xfId="0" applyAlignment="1" applyBorder="1" applyFont="1">
      <alignment readingOrder="0" vertical="center"/>
    </xf>
    <xf borderId="6" fillId="9" fontId="19" numFmtId="0" xfId="0" applyAlignment="1" applyBorder="1" applyFont="1">
      <alignment horizontal="center" readingOrder="0" vertical="center"/>
    </xf>
    <xf borderId="6" fillId="9" fontId="19" numFmtId="0" xfId="0" applyAlignment="1" applyBorder="1" applyFont="1">
      <alignment horizontal="center" vertical="center"/>
    </xf>
    <xf borderId="1" fillId="3" fontId="18" numFmtId="0" xfId="0" applyAlignment="1" applyBorder="1" applyFont="1">
      <alignment vertical="center"/>
    </xf>
    <xf borderId="18" fillId="9" fontId="19" numFmtId="0" xfId="0" applyAlignment="1" applyBorder="1" applyFont="1">
      <alignment horizontal="center" readingOrder="0" vertical="center"/>
    </xf>
    <xf borderId="0" fillId="0" fontId="18" numFmtId="0" xfId="0" applyAlignment="1" applyFont="1">
      <alignment vertical="bottom"/>
    </xf>
    <xf borderId="19" fillId="11" fontId="11" numFmtId="0" xfId="0" applyAlignment="1" applyBorder="1" applyFill="1" applyFont="1">
      <alignment horizontal="left" readingOrder="0" vertical="center"/>
    </xf>
    <xf borderId="19" fillId="3" fontId="10" numFmtId="165" xfId="0" applyAlignment="1" applyBorder="1" applyFont="1" applyNumberFormat="1">
      <alignment readingOrder="0" vertical="center"/>
    </xf>
    <xf borderId="19" fillId="3" fontId="11" numFmtId="165" xfId="0" applyAlignment="1" applyBorder="1" applyFont="1" applyNumberFormat="1">
      <alignment horizontal="left" vertical="center"/>
    </xf>
    <xf borderId="16" fillId="3" fontId="11" numFmtId="0" xfId="0" applyAlignment="1" applyBorder="1" applyFont="1">
      <alignment vertical="center"/>
    </xf>
    <xf borderId="19" fillId="3" fontId="10" numFmtId="165" xfId="0" applyAlignment="1" applyBorder="1" applyFont="1" applyNumberFormat="1">
      <alignment horizontal="left" vertical="center"/>
    </xf>
    <xf borderId="17" fillId="3" fontId="7" numFmtId="0" xfId="0" applyBorder="1" applyFont="1"/>
    <xf borderId="0" fillId="3" fontId="11" numFmtId="0" xfId="0" applyAlignment="1" applyFont="1">
      <alignment horizontal="left" readingOrder="0" vertical="center"/>
    </xf>
    <xf borderId="0" fillId="3" fontId="10" numFmtId="165" xfId="0" applyAlignment="1" applyFont="1" applyNumberFormat="1">
      <alignment vertical="center"/>
    </xf>
    <xf borderId="0" fillId="3" fontId="11" numFmtId="0" xfId="0" applyAlignment="1" applyFont="1">
      <alignment vertical="center"/>
    </xf>
    <xf borderId="1" fillId="3" fontId="11" numFmtId="0" xfId="0" applyAlignment="1" applyBorder="1" applyFont="1">
      <alignment vertical="center"/>
    </xf>
    <xf borderId="0" fillId="3" fontId="10" numFmtId="0" xfId="0" applyAlignment="1" applyFont="1">
      <alignment horizontal="left" vertical="center"/>
    </xf>
    <xf borderId="19" fillId="12" fontId="16" numFmtId="0" xfId="0" applyAlignment="1" applyBorder="1" applyFill="1" applyFont="1">
      <alignment horizontal="left" readingOrder="0" vertical="center"/>
    </xf>
    <xf borderId="19" fillId="7" fontId="10" numFmtId="165" xfId="0" applyAlignment="1" applyBorder="1" applyFont="1" applyNumberFormat="1">
      <alignment vertical="center"/>
    </xf>
    <xf borderId="16" fillId="0" fontId="10" numFmtId="0" xfId="0" applyAlignment="1" applyBorder="1" applyFont="1">
      <alignment vertical="center"/>
    </xf>
    <xf borderId="19" fillId="7" fontId="10" numFmtId="165" xfId="0" applyAlignment="1" applyBorder="1" applyFont="1" applyNumberFormat="1">
      <alignment horizontal="left" vertical="center"/>
    </xf>
    <xf borderId="0" fillId="3" fontId="11" numFmtId="0" xfId="0" applyAlignment="1" applyFont="1">
      <alignment horizontal="left" vertical="center"/>
    </xf>
    <xf borderId="1" fillId="0" fontId="11" numFmtId="0" xfId="0" applyAlignment="1" applyBorder="1" applyFont="1">
      <alignment vertical="center"/>
    </xf>
    <xf borderId="1" fillId="3" fontId="7" numFmtId="0" xfId="0" applyAlignment="1" applyBorder="1" applyFont="1">
      <alignment readingOrder="0"/>
    </xf>
    <xf borderId="19" fillId="12" fontId="20" numFmtId="0" xfId="0" applyAlignment="1" applyBorder="1" applyFont="1">
      <alignment horizontal="left" readingOrder="0" vertical="center"/>
    </xf>
    <xf borderId="1" fillId="3" fontId="7" numFmtId="0" xfId="0" applyAlignment="1" applyBorder="1" applyFont="1">
      <alignment vertical="center"/>
    </xf>
    <xf borderId="14" fillId="3" fontId="7" numFmtId="0" xfId="0" applyAlignment="1" applyBorder="1" applyFont="1">
      <alignment vertical="center"/>
    </xf>
    <xf borderId="19" fillId="3" fontId="11" numFmtId="165" xfId="0" applyAlignment="1" applyBorder="1" applyFont="1" applyNumberFormat="1">
      <alignment horizontal="left" readingOrder="0" vertical="center"/>
    </xf>
    <xf borderId="16" fillId="3" fontId="11" numFmtId="165" xfId="0" applyAlignment="1" applyBorder="1" applyFont="1" applyNumberFormat="1">
      <alignment vertical="center"/>
    </xf>
    <xf borderId="19" fillId="3" fontId="10" numFmtId="165" xfId="0" applyAlignment="1" applyBorder="1" applyFont="1" applyNumberFormat="1">
      <alignment horizontal="left" readingOrder="0" vertical="center"/>
    </xf>
    <xf borderId="19" fillId="11" fontId="21" numFmtId="0" xfId="0" applyAlignment="1" applyBorder="1" applyFont="1">
      <alignment readingOrder="0" vertical="center"/>
    </xf>
    <xf borderId="19" fillId="3" fontId="11" numFmtId="165" xfId="0" applyAlignment="1" applyBorder="1" applyFont="1" applyNumberFormat="1">
      <alignment readingOrder="0" vertical="center"/>
    </xf>
    <xf borderId="1" fillId="3" fontId="7" numFmtId="166" xfId="0" applyAlignment="1" applyBorder="1" applyFont="1" applyNumberFormat="1">
      <alignment readingOrder="0"/>
    </xf>
    <xf borderId="0" fillId="3" fontId="11" numFmtId="165" xfId="0" applyAlignment="1" applyFont="1" applyNumberFormat="1">
      <alignment vertical="center"/>
    </xf>
    <xf borderId="1" fillId="3" fontId="11" numFmtId="165" xfId="0" applyAlignment="1" applyBorder="1" applyFont="1" applyNumberFormat="1">
      <alignment vertical="center"/>
    </xf>
    <xf borderId="0" fillId="3" fontId="11" numFmtId="165" xfId="0" applyAlignment="1" applyFont="1" applyNumberFormat="1">
      <alignment horizontal="left" vertical="center"/>
    </xf>
    <xf borderId="16" fillId="0" fontId="10" numFmtId="165" xfId="0" applyAlignment="1" applyBorder="1" applyFont="1" applyNumberFormat="1">
      <alignment vertical="center"/>
    </xf>
    <xf borderId="19" fillId="7" fontId="10" numFmtId="3" xfId="0" applyAlignment="1" applyBorder="1" applyFont="1" applyNumberFormat="1">
      <alignment readingOrder="0" vertical="center"/>
    </xf>
    <xf borderId="1" fillId="3" fontId="7" numFmtId="4" xfId="0" applyBorder="1" applyFont="1" applyNumberFormat="1"/>
    <xf borderId="6" fillId="5" fontId="22" numFmtId="0" xfId="0" applyAlignment="1" applyBorder="1" applyFont="1">
      <alignment readingOrder="0"/>
    </xf>
    <xf borderId="6" fillId="0" fontId="18" numFmtId="164" xfId="0" applyBorder="1" applyFont="1" applyNumberFormat="1"/>
    <xf borderId="6" fillId="5" fontId="21" numFmtId="165" xfId="0" applyAlignment="1" applyBorder="1" applyFont="1" applyNumberFormat="1">
      <alignment readingOrder="0" vertical="center"/>
    </xf>
    <xf borderId="6" fillId="5" fontId="18" numFmtId="165" xfId="0" applyBorder="1" applyFont="1" applyNumberFormat="1"/>
    <xf borderId="6" fillId="5" fontId="22" numFmtId="165" xfId="0" applyBorder="1" applyFont="1" applyNumberFormat="1"/>
    <xf borderId="1" fillId="3" fontId="18" numFmtId="10" xfId="0" applyBorder="1" applyFont="1" applyNumberFormat="1"/>
    <xf borderId="19" fillId="3" fontId="22" numFmtId="165" xfId="0" applyBorder="1" applyFont="1" applyNumberFormat="1"/>
    <xf borderId="6" fillId="13" fontId="11" numFmtId="165" xfId="0" applyAlignment="1" applyBorder="1" applyFill="1" applyFont="1" applyNumberFormat="1">
      <alignment horizontal="left" readingOrder="0" vertical="center"/>
    </xf>
    <xf borderId="6" fillId="0" fontId="11" numFmtId="165" xfId="0" applyAlignment="1" applyBorder="1" applyFont="1" applyNumberFormat="1">
      <alignment horizontal="left" readingOrder="0" vertical="center"/>
    </xf>
    <xf borderId="6" fillId="14" fontId="10" numFmtId="165" xfId="0" applyAlignment="1" applyBorder="1" applyFill="1" applyFont="1" applyNumberFormat="1">
      <alignment horizontal="left" vertical="center"/>
    </xf>
    <xf borderId="19" fillId="0" fontId="11" numFmtId="165" xfId="0" applyAlignment="1" applyBorder="1" applyFont="1" applyNumberFormat="1">
      <alignment readingOrder="0" vertical="center"/>
    </xf>
    <xf borderId="19" fillId="0" fontId="11" numFmtId="165" xfId="0" applyAlignment="1" applyBorder="1" applyFont="1" applyNumberFormat="1">
      <alignment horizontal="left" readingOrder="0" vertical="center"/>
    </xf>
    <xf borderId="0" fillId="0" fontId="23" numFmtId="0" xfId="0" applyAlignment="1" applyFont="1">
      <alignment horizontal="right" vertical="bottom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horizontal="center"/>
    </xf>
    <xf borderId="0" fillId="0" fontId="18" numFmtId="0" xfId="0" applyAlignment="1" applyFont="1">
      <alignment vertical="top"/>
    </xf>
    <xf borderId="0" fillId="0" fontId="25" numFmtId="0" xfId="0" applyAlignment="1" applyFont="1">
      <alignment horizontal="center" readingOrder="0"/>
    </xf>
    <xf borderId="0" fillId="15" fontId="26" numFmtId="0" xfId="0" applyAlignment="1" applyFill="1" applyFont="1">
      <alignment readingOrder="0"/>
    </xf>
    <xf borderId="20" fillId="16" fontId="27" numFmtId="0" xfId="0" applyAlignment="1" applyBorder="1" applyFill="1" applyFont="1">
      <alignment horizontal="center" shrinkToFit="0" wrapText="1"/>
    </xf>
    <xf borderId="21" fillId="0" fontId="18" numFmtId="0" xfId="0" applyAlignment="1" applyBorder="1" applyFont="1">
      <alignment vertical="bottom"/>
    </xf>
    <xf borderId="22" fillId="0" fontId="28" numFmtId="0" xfId="0" applyAlignment="1" applyBorder="1" applyFont="1">
      <alignment horizontal="center" vertical="bottom"/>
    </xf>
    <xf borderId="21" fillId="0" fontId="29" numFmtId="0" xfId="0" applyAlignment="1" applyBorder="1" applyFont="1">
      <alignment horizontal="center" vertical="bottom"/>
    </xf>
    <xf borderId="0" fillId="0" fontId="18" numFmtId="0" xfId="0" applyFont="1"/>
    <xf borderId="22" fillId="0" fontId="29" numFmtId="0" xfId="0" applyAlignment="1" applyBorder="1" applyFont="1">
      <alignment horizontal="center" vertical="bottom"/>
    </xf>
    <xf borderId="23" fillId="0" fontId="29" numFmtId="0" xfId="0" applyAlignment="1" applyBorder="1" applyFont="1">
      <alignment horizontal="center" vertical="bottom"/>
    </xf>
    <xf borderId="0" fillId="13" fontId="30" numFmtId="0" xfId="0" applyAlignment="1" applyFont="1">
      <alignment readingOrder="0" vertical="bottom"/>
    </xf>
    <xf borderId="0" fillId="13" fontId="31" numFmtId="0" xfId="0" applyAlignment="1" applyFont="1">
      <alignment readingOrder="0" vertical="bottom"/>
    </xf>
    <xf borderId="0" fillId="17" fontId="18" numFmtId="0" xfId="0" applyAlignment="1" applyFill="1" applyFont="1">
      <alignment readingOrder="0" vertical="bottom"/>
    </xf>
    <xf borderId="0" fillId="17" fontId="31" numFmtId="0" xfId="0" applyAlignment="1" applyFont="1">
      <alignment readingOrder="0" vertical="bottom"/>
    </xf>
    <xf borderId="22" fillId="13" fontId="29" numFmtId="0" xfId="0" applyAlignment="1" applyBorder="1" applyFont="1">
      <alignment horizontal="center" vertical="bottom"/>
    </xf>
    <xf borderId="0" fillId="18" fontId="30" numFmtId="0" xfId="0" applyAlignment="1" applyFill="1" applyFont="1">
      <alignment readingOrder="0" vertical="bottom"/>
    </xf>
    <xf borderId="0" fillId="18" fontId="31" numFmtId="0" xfId="0" applyAlignment="1" applyFont="1">
      <alignment readingOrder="0" vertical="bottom"/>
    </xf>
    <xf borderId="22" fillId="15" fontId="29" numFmtId="0" xfId="0" applyAlignment="1" applyBorder="1" applyFont="1">
      <alignment horizontal="center" vertical="bottom"/>
    </xf>
    <xf borderId="22" fillId="0" fontId="18" numFmtId="0" xfId="0" applyAlignment="1" applyBorder="1" applyFont="1">
      <alignment vertical="bottom"/>
    </xf>
    <xf borderId="0" fillId="0" fontId="32" numFmtId="0" xfId="0" applyAlignment="1" applyFont="1">
      <alignment vertical="bottom"/>
    </xf>
    <xf borderId="0" fillId="11" fontId="18" numFmtId="0" xfId="0" applyAlignment="1" applyFont="1">
      <alignment vertical="bottom"/>
    </xf>
    <xf borderId="0" fillId="11" fontId="32" numFmtId="0" xfId="0" applyAlignment="1" applyFont="1">
      <alignment vertical="bottom"/>
    </xf>
    <xf borderId="0" fillId="0" fontId="25" numFmtId="0" xfId="0" applyAlignment="1" applyFont="1">
      <alignment horizontal="center" vertical="bottom"/>
    </xf>
    <xf borderId="0" fillId="3" fontId="18" numFmtId="0" xfId="0" applyAlignment="1" applyFont="1">
      <alignment vertical="bottom"/>
    </xf>
    <xf borderId="0" fillId="3" fontId="32" numFmtId="0" xfId="0" applyAlignment="1" applyFont="1">
      <alignment vertical="bottom"/>
    </xf>
    <xf borderId="20" fillId="16" fontId="27" numFmtId="0" xfId="0" applyAlignment="1" applyBorder="1" applyFont="1">
      <alignment horizontal="center" shrinkToFit="0" vertical="bottom" wrapText="1"/>
    </xf>
    <xf borderId="24" fillId="0" fontId="18" numFmtId="0" xfId="0" applyAlignment="1" applyBorder="1" applyFont="1">
      <alignment vertical="bottom"/>
    </xf>
    <xf borderId="0" fillId="19" fontId="18" numFmtId="0" xfId="0" applyAlignment="1" applyFill="1" applyFont="1">
      <alignment vertical="bottom"/>
    </xf>
    <xf borderId="0" fillId="19" fontId="32" numFmtId="0" xfId="0" applyAlignment="1" applyFont="1">
      <alignment vertical="bottom"/>
    </xf>
    <xf borderId="22" fillId="17" fontId="29" numFmtId="0" xfId="0" applyAlignment="1" applyBorder="1" applyFont="1">
      <alignment horizontal="center" vertical="bottom"/>
    </xf>
    <xf borderId="0" fillId="0" fontId="18" numFmtId="0" xfId="0" applyAlignment="1" applyFont="1">
      <alignment readingOrder="0" vertical="bottom"/>
    </xf>
    <xf borderId="23" fillId="18" fontId="29" numFmtId="0" xfId="0" applyAlignment="1" applyBorder="1" applyFont="1">
      <alignment horizontal="center" vertical="bottom"/>
    </xf>
    <xf borderId="22" fillId="18" fontId="29" numFmtId="0" xfId="0" applyAlignment="1" applyBorder="1" applyFont="1">
      <alignment horizontal="center" vertical="bottom"/>
    </xf>
    <xf borderId="22" fillId="18" fontId="28" numFmtId="0" xfId="0" applyAlignment="1" applyBorder="1" applyFont="1">
      <alignment horizontal="center" vertical="bottom"/>
    </xf>
    <xf borderId="23" fillId="0" fontId="18" numFmtId="0" xfId="0" applyAlignment="1" applyBorder="1" applyFont="1">
      <alignment vertical="bottom"/>
    </xf>
    <xf borderId="0" fillId="0" fontId="33" numFmtId="0" xfId="0" applyAlignment="1" applyFont="1">
      <alignment vertical="bottom"/>
    </xf>
    <xf borderId="0" fillId="0" fontId="11" numFmtId="0" xfId="0" applyAlignment="1" applyFont="1">
      <alignment shrinkToFit="0" wrapText="1"/>
    </xf>
    <xf borderId="1" fillId="3" fontId="7" numFmtId="0" xfId="0" applyAlignment="1" applyBorder="1" applyFont="1">
      <alignment vertical="top"/>
    </xf>
    <xf borderId="0" fillId="0" fontId="34" numFmtId="0" xfId="0" applyAlignment="1" applyFont="1">
      <alignment vertical="top"/>
    </xf>
    <xf borderId="1" fillId="3" fontId="7" numFmtId="0" xfId="0" applyAlignment="1" applyBorder="1" applyFont="1">
      <alignment horizontal="left" shrinkToFit="0" vertical="top" wrapText="1"/>
    </xf>
    <xf borderId="19" fillId="11" fontId="21" numFmtId="0" xfId="0" applyAlignment="1" applyBorder="1" applyFont="1">
      <alignment readingOrder="0"/>
    </xf>
  </cellXfs>
  <cellStyles count="1">
    <cellStyle xfId="0" name="Normal" builtinId="0"/>
  </cellStyles>
  <dxfs count="1">
    <dxf>
      <font>
        <color rgb="FFC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5363570328616671"/>
          <c:y val="0.16626323199666268"/>
          <c:w val="0.990551007665892"/>
          <c:h val="0.6115263075559264"/>
        </c:manualLayout>
      </c:layout>
      <c:lineChart>
        <c:ser>
          <c:idx val="0"/>
          <c:order val="0"/>
          <c:tx>
            <c:v>NET PROFIT</c:v>
          </c:tx>
          <c:spPr>
            <a:ln cmpd="sng" w="19050">
              <a:solidFill>
                <a:srgbClr val="00B0F0">
                  <a:alpha val="100000"/>
                </a:srgbClr>
              </a:solidFill>
            </a:ln>
          </c:spPr>
          <c:marker>
            <c:symbol val="circle"/>
            <c:size val="11"/>
            <c:spPr>
              <a:solidFill>
                <a:srgbClr val="00B0F0">
                  <a:alpha val="100000"/>
                </a:srgbClr>
              </a:solidFill>
              <a:ln cmpd="sng">
                <a:solidFill>
                  <a:srgbClr val="00B0F0">
                    <a:alpha val="100000"/>
                  </a:srgbClr>
                </a:solidFill>
              </a:ln>
            </c:spPr>
          </c:marker>
          <c:cat>
            <c:strRef>
              <c:f>'CHARLEY 2026 Projections'!$D$8:$O$8</c:f>
            </c:strRef>
          </c:cat>
          <c:val>
            <c:numRef>
              <c:f>'CHARLEY 2026 Projections'!$D$9:$O$9</c:f>
              <c:numCache/>
            </c:numRef>
          </c:val>
          <c:smooth val="0"/>
        </c:ser>
        <c:ser>
          <c:idx val="1"/>
          <c:order val="1"/>
          <c:tx>
            <c:v>TOTAL EXPENSES</c:v>
          </c:tx>
          <c:spPr>
            <a:ln cmpd="sng" w="28575">
              <a:solidFill>
                <a:srgbClr val="92D050">
                  <a:alpha val="100000"/>
                </a:srgbClr>
              </a:solidFill>
            </a:ln>
          </c:spPr>
          <c:marker>
            <c:symbol val="circle"/>
            <c:size val="11"/>
            <c:spPr>
              <a:solidFill>
                <a:srgbClr val="92D050">
                  <a:alpha val="100000"/>
                </a:srgbClr>
              </a:solidFill>
              <a:ln cmpd="sng">
                <a:solidFill>
                  <a:srgbClr val="92D050">
                    <a:alpha val="100000"/>
                  </a:srgbClr>
                </a:solidFill>
              </a:ln>
            </c:spPr>
          </c:marker>
          <c:cat>
            <c:strRef>
              <c:f>'CHARLEY 2026 Projections'!$D$8:$O$8</c:f>
            </c:strRef>
          </c:cat>
          <c:val>
            <c:numRef>
              <c:f>'CHARLEY 2026 Projections'!$D$10:$O$10</c:f>
              <c:numCache/>
            </c:numRef>
          </c:val>
          <c:smooth val="0"/>
        </c:ser>
        <c:ser>
          <c:idx val="2"/>
          <c:order val="2"/>
          <c:tx>
            <c:v>PROFIT / LOSS</c:v>
          </c:tx>
          <c:spPr>
            <a:ln cmpd="sng" w="28575">
              <a:solidFill>
                <a:schemeClr val="accent3"/>
              </a:solidFill>
              <a:prstDash val="sysDot"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'CHARLEY 2026 Projections'!$D$8:$O$8</c:f>
            </c:strRef>
          </c:cat>
          <c:val>
            <c:numRef>
              <c:f>'CHARLEY 2026 Projections'!$D$11:$O$11</c:f>
              <c:numCache/>
            </c:numRef>
          </c:val>
          <c:smooth val="0"/>
        </c:ser>
        <c:axId val="1409031101"/>
        <c:axId val="514976443"/>
      </c:lineChart>
      <c:catAx>
        <c:axId val="1409031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514976443"/>
      </c:catAx>
      <c:valAx>
        <c:axId val="5149764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031101"/>
      </c:valAx>
    </c:plotArea>
    <c:legend>
      <c:legendPos val="b"/>
      <c:layout>
        <c:manualLayout>
          <c:xMode val="edge"/>
          <c:yMode val="edge"/>
          <c:x val="0.2640490185205723"/>
          <c:y val="0.8711799854805384"/>
        </c:manualLayout>
      </c:layout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entury Gothic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0</xdr:row>
      <xdr:rowOff>514350</xdr:rowOff>
    </xdr:from>
    <xdr:ext cx="8001000" cy="1752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rs.gov/pub/irs-pdf/f843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rs.gov/pub/irs-pdf/f843.pd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rs.gov/pub/irs-pdf/f843.pd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rs.gov/pub/irs-pdf/f843.pdf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rs.gov/pub/irs-pdf/f843.pdf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57.71"/>
    <col customWidth="1" min="3" max="3" width="15.86"/>
    <col customWidth="1" min="4" max="15" width="12.71"/>
    <col customWidth="1" min="16" max="16" width="3.71"/>
    <col customWidth="1" min="17" max="17" width="12.71"/>
    <col customWidth="1" min="18" max="18" width="3.71"/>
    <col customWidth="1" min="19" max="24" width="28.71"/>
  </cols>
  <sheetData>
    <row r="1" ht="49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1.75" customHeight="1">
      <c r="A2" s="3"/>
      <c r="B2" s="4" t="s">
        <v>1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</row>
    <row r="3" ht="34.5" customHeight="1">
      <c r="A3" s="8"/>
      <c r="B3" s="9" t="s">
        <v>2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8"/>
      <c r="S3" s="8"/>
      <c r="T3" s="8"/>
      <c r="U3" s="8"/>
      <c r="V3" s="8"/>
      <c r="W3" s="8"/>
      <c r="X3" s="8"/>
    </row>
    <row r="4" ht="15.0" customHeight="1">
      <c r="A4" s="7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S4" s="7"/>
      <c r="T4" s="7"/>
      <c r="U4" s="7"/>
      <c r="V4" s="7"/>
      <c r="W4" s="7"/>
      <c r="X4" s="7"/>
    </row>
    <row r="5" ht="21.75" customHeight="1">
      <c r="A5" s="3"/>
      <c r="B5" s="4" t="s">
        <v>3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  <c r="W5" s="7"/>
      <c r="X5" s="7"/>
    </row>
    <row r="6" ht="34.5" customHeight="1">
      <c r="A6" s="8"/>
      <c r="B6" s="9" t="s">
        <v>4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8"/>
      <c r="S6" s="8"/>
      <c r="T6" s="8"/>
      <c r="U6" s="8"/>
      <c r="V6" s="8"/>
      <c r="W6" s="8"/>
      <c r="X6" s="8"/>
    </row>
    <row r="7" ht="15.0" customHeight="1">
      <c r="A7" s="7"/>
      <c r="B7" s="14" t="s">
        <v>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7"/>
      <c r="T7" s="7"/>
      <c r="U7" s="7"/>
      <c r="V7" s="7"/>
      <c r="W7" s="7"/>
      <c r="X7" s="7"/>
    </row>
    <row r="8" ht="19.5" customHeight="1">
      <c r="A8" s="8"/>
      <c r="B8" s="12"/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1"/>
      <c r="Q8" s="15" t="s">
        <v>19</v>
      </c>
      <c r="S8" s="8"/>
      <c r="T8" s="8"/>
      <c r="U8" s="8"/>
      <c r="V8" s="8"/>
      <c r="W8" s="8"/>
      <c r="X8" s="8"/>
    </row>
    <row r="9" ht="19.5" customHeight="1">
      <c r="A9" s="7"/>
      <c r="B9" s="16" t="s">
        <v>20</v>
      </c>
      <c r="C9" s="17"/>
      <c r="D9" s="18">
        <f t="shared" ref="D9:O9" si="1">D38</f>
        <v>7854.16425</v>
      </c>
      <c r="E9" s="18">
        <f t="shared" si="1"/>
        <v>7854.16425</v>
      </c>
      <c r="F9" s="18">
        <f t="shared" si="1"/>
        <v>7854.16425</v>
      </c>
      <c r="G9" s="18">
        <f t="shared" si="1"/>
        <v>7854.16425</v>
      </c>
      <c r="H9" s="18">
        <f t="shared" si="1"/>
        <v>7854.16425</v>
      </c>
      <c r="I9" s="18">
        <f t="shared" si="1"/>
        <v>7854.16425</v>
      </c>
      <c r="J9" s="18">
        <f t="shared" si="1"/>
        <v>7854.16425</v>
      </c>
      <c r="K9" s="18">
        <f t="shared" si="1"/>
        <v>7854.16425</v>
      </c>
      <c r="L9" s="18">
        <f t="shared" si="1"/>
        <v>7854.16425</v>
      </c>
      <c r="M9" s="18">
        <f t="shared" si="1"/>
        <v>7854.16425</v>
      </c>
      <c r="N9" s="18">
        <f t="shared" si="1"/>
        <v>7854.16425</v>
      </c>
      <c r="O9" s="18">
        <f t="shared" si="1"/>
        <v>10329.16425</v>
      </c>
      <c r="P9" s="19"/>
      <c r="Q9" s="18">
        <f t="shared" ref="Q9:Q10" si="3">SUM(D9:O9)</f>
        <v>96724.971</v>
      </c>
      <c r="S9" s="7"/>
      <c r="T9" s="7"/>
      <c r="U9" s="7"/>
      <c r="V9" s="7"/>
    </row>
    <row r="10" ht="19.5" customHeight="1">
      <c r="A10" s="7"/>
      <c r="B10" s="16" t="s">
        <v>21</v>
      </c>
      <c r="C10" s="20"/>
      <c r="D10" s="21">
        <f t="shared" ref="D10:O10" si="2">D96</f>
        <v>6467.4992</v>
      </c>
      <c r="E10" s="21">
        <f t="shared" si="2"/>
        <v>6437.4992</v>
      </c>
      <c r="F10" s="21">
        <f t="shared" si="2"/>
        <v>6437.4992</v>
      </c>
      <c r="G10" s="21">
        <f t="shared" si="2"/>
        <v>7062.4992</v>
      </c>
      <c r="H10" s="21">
        <f t="shared" si="2"/>
        <v>6812.4992</v>
      </c>
      <c r="I10" s="21">
        <f t="shared" si="2"/>
        <v>6812.4992</v>
      </c>
      <c r="J10" s="21">
        <f t="shared" si="2"/>
        <v>6812.4992</v>
      </c>
      <c r="K10" s="21">
        <f t="shared" si="2"/>
        <v>7062.4992</v>
      </c>
      <c r="L10" s="21">
        <f t="shared" si="2"/>
        <v>6812.4992</v>
      </c>
      <c r="M10" s="21">
        <f t="shared" si="2"/>
        <v>6812.4992</v>
      </c>
      <c r="N10" s="21">
        <f t="shared" si="2"/>
        <v>7062.4992</v>
      </c>
      <c r="O10" s="21">
        <f t="shared" si="2"/>
        <v>6912.4992</v>
      </c>
      <c r="P10" s="7"/>
      <c r="Q10" s="21">
        <f t="shared" si="3"/>
        <v>81504.9904</v>
      </c>
      <c r="R10" s="7"/>
      <c r="S10" s="7"/>
      <c r="T10" s="7"/>
      <c r="U10" s="7"/>
      <c r="V10" s="7"/>
      <c r="W10" s="7"/>
      <c r="X10" s="7"/>
    </row>
    <row r="11" ht="21.75" customHeight="1">
      <c r="A11" s="7"/>
      <c r="B11" s="16" t="s">
        <v>22</v>
      </c>
      <c r="C11" s="22"/>
      <c r="D11" s="23">
        <f t="shared" ref="D11:O11" si="4">D9-D10</f>
        <v>1386.66505</v>
      </c>
      <c r="E11" s="23">
        <f t="shared" si="4"/>
        <v>1416.66505</v>
      </c>
      <c r="F11" s="23">
        <f t="shared" si="4"/>
        <v>1416.66505</v>
      </c>
      <c r="G11" s="23">
        <f t="shared" si="4"/>
        <v>791.66505</v>
      </c>
      <c r="H11" s="23">
        <f t="shared" si="4"/>
        <v>1041.66505</v>
      </c>
      <c r="I11" s="23">
        <f t="shared" si="4"/>
        <v>1041.66505</v>
      </c>
      <c r="J11" s="23">
        <f t="shared" si="4"/>
        <v>1041.66505</v>
      </c>
      <c r="K11" s="23">
        <f t="shared" si="4"/>
        <v>791.66505</v>
      </c>
      <c r="L11" s="23">
        <f t="shared" si="4"/>
        <v>1041.66505</v>
      </c>
      <c r="M11" s="23">
        <f t="shared" si="4"/>
        <v>1041.66505</v>
      </c>
      <c r="N11" s="23">
        <f t="shared" si="4"/>
        <v>791.66505</v>
      </c>
      <c r="O11" s="23">
        <f t="shared" si="4"/>
        <v>3416.66505</v>
      </c>
      <c r="P11" s="19"/>
      <c r="Q11" s="23">
        <f>Q9-Q10</f>
        <v>15219.9806</v>
      </c>
      <c r="S11" s="7"/>
      <c r="T11" s="7"/>
      <c r="U11" s="7"/>
      <c r="V11" s="7"/>
    </row>
    <row r="12" ht="19.5" customHeight="1">
      <c r="A12" s="7"/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9"/>
      <c r="Q12" s="7"/>
      <c r="S12" s="7"/>
      <c r="T12" s="7"/>
      <c r="U12" s="7"/>
      <c r="V12" s="7"/>
    </row>
    <row r="13" ht="31.5" customHeight="1">
      <c r="A13" s="8"/>
      <c r="B13" s="24" t="s">
        <v>23</v>
      </c>
      <c r="C13" s="15" t="s">
        <v>6</v>
      </c>
      <c r="D13" s="25" t="s">
        <v>7</v>
      </c>
      <c r="E13" s="25" t="s">
        <v>8</v>
      </c>
      <c r="F13" s="25" t="s">
        <v>9</v>
      </c>
      <c r="G13" s="25" t="s">
        <v>10</v>
      </c>
      <c r="H13" s="25" t="s">
        <v>11</v>
      </c>
      <c r="I13" s="25" t="s">
        <v>12</v>
      </c>
      <c r="J13" s="25" t="s">
        <v>13</v>
      </c>
      <c r="K13" s="25" t="s">
        <v>14</v>
      </c>
      <c r="L13" s="25" t="s">
        <v>15</v>
      </c>
      <c r="M13" s="25" t="s">
        <v>16</v>
      </c>
      <c r="N13" s="25" t="s">
        <v>17</v>
      </c>
      <c r="O13" s="25" t="s">
        <v>18</v>
      </c>
      <c r="P13" s="11"/>
      <c r="Q13" s="25" t="s">
        <v>19</v>
      </c>
      <c r="S13" s="8"/>
      <c r="T13" s="8"/>
      <c r="U13" s="8"/>
      <c r="V13" s="8"/>
      <c r="W13" s="8"/>
      <c r="X13" s="8"/>
    </row>
    <row r="14" ht="19.5" customHeight="1">
      <c r="A14" s="7"/>
      <c r="B14" s="26" t="s">
        <v>24</v>
      </c>
      <c r="C14" s="27"/>
      <c r="D14" s="28">
        <v>10833.33</v>
      </c>
      <c r="E14" s="28">
        <v>10833.33</v>
      </c>
      <c r="F14" s="28">
        <v>10833.33</v>
      </c>
      <c r="G14" s="28">
        <v>10833.33</v>
      </c>
      <c r="H14" s="28">
        <v>10833.33</v>
      </c>
      <c r="I14" s="28">
        <v>10833.33</v>
      </c>
      <c r="J14" s="28">
        <v>10833.33</v>
      </c>
      <c r="K14" s="28">
        <v>10833.33</v>
      </c>
      <c r="L14" s="28">
        <v>10833.33</v>
      </c>
      <c r="M14" s="28">
        <v>10833.33</v>
      </c>
      <c r="N14" s="28">
        <v>10833.33</v>
      </c>
      <c r="O14" s="28">
        <v>10833.33</v>
      </c>
      <c r="P14" s="19"/>
      <c r="Q14" s="29">
        <f t="shared" ref="Q14:Q17" si="5">SUM(D14:O14)</f>
        <v>129999.96</v>
      </c>
      <c r="S14" s="7"/>
      <c r="T14" s="7"/>
      <c r="U14" s="7"/>
      <c r="V14" s="7"/>
    </row>
    <row r="15" ht="19.5" customHeight="1">
      <c r="A15" s="7"/>
      <c r="B15" s="26" t="s">
        <v>25</v>
      </c>
      <c r="C15" s="27"/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0.0</v>
      </c>
      <c r="K15" s="29">
        <v>0.0</v>
      </c>
      <c r="L15" s="29">
        <v>0.0</v>
      </c>
      <c r="M15" s="29">
        <v>0.0</v>
      </c>
      <c r="N15" s="29">
        <v>0.0</v>
      </c>
      <c r="O15" s="28">
        <v>3000.0</v>
      </c>
      <c r="P15" s="19"/>
      <c r="Q15" s="29">
        <f t="shared" si="5"/>
        <v>3000</v>
      </c>
      <c r="S15" s="7"/>
      <c r="T15" s="7"/>
      <c r="U15" s="7"/>
      <c r="V15" s="7"/>
    </row>
    <row r="16" ht="19.5" customHeight="1">
      <c r="A16" s="7"/>
      <c r="B16" s="26" t="s">
        <v>26</v>
      </c>
      <c r="C16" s="27"/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0.0</v>
      </c>
      <c r="L16" s="29">
        <v>0.0</v>
      </c>
      <c r="M16" s="29">
        <v>0.0</v>
      </c>
      <c r="N16" s="29">
        <v>0.0</v>
      </c>
      <c r="O16" s="29">
        <v>0.0</v>
      </c>
      <c r="P16" s="19"/>
      <c r="Q16" s="29">
        <f t="shared" si="5"/>
        <v>0</v>
      </c>
      <c r="S16" s="7"/>
      <c r="T16" s="7"/>
      <c r="U16" s="7"/>
      <c r="V16" s="7"/>
    </row>
    <row r="17" ht="19.5" customHeight="1">
      <c r="A17" s="7"/>
      <c r="B17" s="26" t="s">
        <v>27</v>
      </c>
      <c r="C17" s="27"/>
      <c r="D17" s="29">
        <v>0.0</v>
      </c>
      <c r="E17" s="29">
        <v>0.0</v>
      </c>
      <c r="F17" s="29">
        <v>0.0</v>
      </c>
      <c r="G17" s="29">
        <v>0.0</v>
      </c>
      <c r="H17" s="29">
        <v>0.0</v>
      </c>
      <c r="I17" s="29">
        <v>0.0</v>
      </c>
      <c r="J17" s="29">
        <v>0.0</v>
      </c>
      <c r="K17" s="29">
        <v>0.0</v>
      </c>
      <c r="L17" s="29">
        <v>0.0</v>
      </c>
      <c r="M17" s="29">
        <v>0.0</v>
      </c>
      <c r="N17" s="29">
        <v>0.0</v>
      </c>
      <c r="O17" s="29">
        <v>0.0</v>
      </c>
      <c r="P17" s="19"/>
      <c r="Q17" s="29">
        <f t="shared" si="5"/>
        <v>0</v>
      </c>
      <c r="S17" s="7"/>
      <c r="T17" s="7"/>
      <c r="U17" s="7"/>
      <c r="V17" s="7"/>
    </row>
    <row r="18" ht="19.5" customHeight="1">
      <c r="A18" s="7"/>
      <c r="B18" s="26" t="s">
        <v>28</v>
      </c>
      <c r="C18" s="27"/>
      <c r="D18" s="29">
        <v>0.0</v>
      </c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0.0</v>
      </c>
      <c r="K18" s="29">
        <v>0.0</v>
      </c>
      <c r="L18" s="29">
        <v>0.0</v>
      </c>
      <c r="M18" s="29">
        <v>0.0</v>
      </c>
      <c r="N18" s="29">
        <v>0.0</v>
      </c>
      <c r="O18" s="28">
        <v>0.0</v>
      </c>
      <c r="P18" s="19"/>
      <c r="Q18" s="29">
        <f t="shared" ref="Q18:Q19" si="6">SUM(E18:O18)</f>
        <v>0</v>
      </c>
      <c r="S18" s="7"/>
      <c r="T18" s="7"/>
      <c r="U18" s="7"/>
      <c r="V18" s="7"/>
    </row>
    <row r="19" ht="19.5" customHeight="1">
      <c r="A19" s="7"/>
      <c r="B19" s="26" t="s">
        <v>29</v>
      </c>
      <c r="C19" s="27"/>
      <c r="D19" s="29">
        <v>0.0</v>
      </c>
      <c r="E19" s="28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0.0</v>
      </c>
      <c r="O19" s="28">
        <v>0.0</v>
      </c>
      <c r="P19" s="19"/>
      <c r="Q19" s="29">
        <f t="shared" si="6"/>
        <v>0</v>
      </c>
      <c r="S19" s="7"/>
      <c r="T19" s="7"/>
      <c r="U19" s="7"/>
      <c r="V19" s="7"/>
    </row>
    <row r="20" ht="19.5" customHeight="1">
      <c r="A20" s="7"/>
      <c r="B20" s="16" t="s">
        <v>30</v>
      </c>
      <c r="C20" s="17"/>
      <c r="D20" s="18">
        <f t="shared" ref="D20:O20" si="7">SUM(D14:D19)</f>
        <v>10833.33</v>
      </c>
      <c r="E20" s="18">
        <f t="shared" si="7"/>
        <v>10833.33</v>
      </c>
      <c r="F20" s="18">
        <f t="shared" si="7"/>
        <v>10833.33</v>
      </c>
      <c r="G20" s="18">
        <f t="shared" si="7"/>
        <v>10833.33</v>
      </c>
      <c r="H20" s="18">
        <f t="shared" si="7"/>
        <v>10833.33</v>
      </c>
      <c r="I20" s="18">
        <f t="shared" si="7"/>
        <v>10833.33</v>
      </c>
      <c r="J20" s="18">
        <f t="shared" si="7"/>
        <v>10833.33</v>
      </c>
      <c r="K20" s="18">
        <f t="shared" si="7"/>
        <v>10833.33</v>
      </c>
      <c r="L20" s="18">
        <f t="shared" si="7"/>
        <v>10833.33</v>
      </c>
      <c r="M20" s="18">
        <f t="shared" si="7"/>
        <v>10833.33</v>
      </c>
      <c r="N20" s="18">
        <f t="shared" si="7"/>
        <v>10833.33</v>
      </c>
      <c r="O20" s="18">
        <f t="shared" si="7"/>
        <v>13833.33</v>
      </c>
      <c r="P20" s="19"/>
      <c r="Q20" s="18">
        <f>SUM(Q14:Q19)</f>
        <v>132999.96</v>
      </c>
      <c r="S20" s="7"/>
      <c r="T20" s="7"/>
      <c r="U20" s="7"/>
      <c r="V20" s="7"/>
    </row>
    <row r="21" ht="19.5" customHeight="1">
      <c r="A21" s="7"/>
      <c r="B21" s="7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9"/>
      <c r="Q21" s="7"/>
      <c r="S21" s="7"/>
      <c r="T21" s="7"/>
      <c r="U21" s="7"/>
      <c r="V21" s="7"/>
    </row>
    <row r="22" ht="31.5" hidden="1" customHeight="1">
      <c r="A22" s="7"/>
      <c r="B22" s="24" t="s">
        <v>31</v>
      </c>
      <c r="C22" s="15" t="s">
        <v>6</v>
      </c>
      <c r="D22" s="15" t="s">
        <v>7</v>
      </c>
      <c r="E22" s="15" t="s">
        <v>8</v>
      </c>
      <c r="F22" s="15" t="s">
        <v>9</v>
      </c>
      <c r="G22" s="15" t="s">
        <v>10</v>
      </c>
      <c r="H22" s="15" t="s">
        <v>11</v>
      </c>
      <c r="I22" s="15" t="s">
        <v>12</v>
      </c>
      <c r="J22" s="15" t="s">
        <v>13</v>
      </c>
      <c r="K22" s="15" t="s">
        <v>14</v>
      </c>
      <c r="L22" s="15" t="s">
        <v>15</v>
      </c>
      <c r="M22" s="15" t="s">
        <v>16</v>
      </c>
      <c r="N22" s="15" t="s">
        <v>17</v>
      </c>
      <c r="O22" s="15" t="s">
        <v>18</v>
      </c>
      <c r="P22" s="19"/>
      <c r="Q22" s="25" t="s">
        <v>19</v>
      </c>
      <c r="S22" s="7"/>
      <c r="T22" s="7"/>
      <c r="U22" s="7"/>
      <c r="V22" s="7"/>
    </row>
    <row r="23" ht="19.5" hidden="1" customHeight="1">
      <c r="A23" s="30"/>
      <c r="B23" s="31" t="s">
        <v>32</v>
      </c>
      <c r="C23" s="27"/>
      <c r="D23" s="32">
        <v>0.0</v>
      </c>
      <c r="E23" s="32">
        <v>0.0</v>
      </c>
      <c r="F23" s="32">
        <v>0.0</v>
      </c>
      <c r="G23" s="33">
        <v>0.0</v>
      </c>
      <c r="H23" s="33">
        <v>0.0</v>
      </c>
      <c r="I23" s="33">
        <v>0.0</v>
      </c>
      <c r="J23" s="33">
        <v>0.0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  <c r="P23" s="19"/>
      <c r="Q23" s="33">
        <f t="shared" ref="Q23:Q27" si="8">SUM(D23:O23)</f>
        <v>0</v>
      </c>
      <c r="S23" s="30"/>
      <c r="T23" s="30"/>
      <c r="U23" s="30"/>
      <c r="V23" s="30"/>
    </row>
    <row r="24" ht="19.5" hidden="1" customHeight="1">
      <c r="A24" s="7"/>
      <c r="B24" s="31" t="s">
        <v>33</v>
      </c>
      <c r="C24" s="27"/>
      <c r="D24" s="32">
        <v>0.0</v>
      </c>
      <c r="E24" s="32">
        <v>0.0</v>
      </c>
      <c r="F24" s="32">
        <v>0.0</v>
      </c>
      <c r="G24" s="33">
        <v>0.0</v>
      </c>
      <c r="H24" s="33">
        <v>0.0</v>
      </c>
      <c r="I24" s="33">
        <v>0.0</v>
      </c>
      <c r="J24" s="33">
        <v>0.0</v>
      </c>
      <c r="K24" s="33">
        <v>0.0</v>
      </c>
      <c r="L24" s="33">
        <v>0.0</v>
      </c>
      <c r="M24" s="33">
        <v>0.0</v>
      </c>
      <c r="N24" s="33">
        <v>0.0</v>
      </c>
      <c r="O24" s="33">
        <v>0.0</v>
      </c>
      <c r="P24" s="34"/>
      <c r="Q24" s="33">
        <f t="shared" si="8"/>
        <v>0</v>
      </c>
      <c r="S24" s="7"/>
      <c r="T24" s="7"/>
      <c r="U24" s="7"/>
      <c r="V24" s="7"/>
    </row>
    <row r="25" ht="19.5" hidden="1" customHeight="1">
      <c r="A25" s="7"/>
      <c r="B25" s="31" t="s">
        <v>34</v>
      </c>
      <c r="C25" s="27"/>
      <c r="D25" s="32">
        <v>0.0</v>
      </c>
      <c r="E25" s="32">
        <v>0.0</v>
      </c>
      <c r="F25" s="32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4"/>
      <c r="Q25" s="33">
        <f t="shared" si="8"/>
        <v>0</v>
      </c>
      <c r="S25" s="7"/>
      <c r="T25" s="7"/>
      <c r="U25" s="7"/>
      <c r="V25" s="7"/>
    </row>
    <row r="26" ht="19.5" hidden="1" customHeight="1">
      <c r="A26" s="7"/>
      <c r="B26" s="31" t="s">
        <v>35</v>
      </c>
      <c r="C26" s="27"/>
      <c r="D26" s="32">
        <v>0.0</v>
      </c>
      <c r="E26" s="32">
        <v>0.0</v>
      </c>
      <c r="F26" s="32">
        <v>0.0</v>
      </c>
      <c r="G26" s="33">
        <v>0.0</v>
      </c>
      <c r="H26" s="33">
        <v>0.0</v>
      </c>
      <c r="I26" s="33">
        <v>0.0</v>
      </c>
      <c r="J26" s="33">
        <v>0.0</v>
      </c>
      <c r="K26" s="33">
        <v>0.0</v>
      </c>
      <c r="L26" s="33">
        <v>0.0</v>
      </c>
      <c r="M26" s="33">
        <v>0.0</v>
      </c>
      <c r="N26" s="33">
        <v>0.0</v>
      </c>
      <c r="O26" s="33">
        <v>0.0</v>
      </c>
      <c r="P26" s="34"/>
      <c r="Q26" s="33">
        <f t="shared" si="8"/>
        <v>0</v>
      </c>
      <c r="S26" s="7"/>
      <c r="T26" s="7"/>
      <c r="U26" s="7"/>
      <c r="V26" s="7"/>
    </row>
    <row r="27" ht="19.5" hidden="1" customHeight="1">
      <c r="A27" s="3"/>
      <c r="B27" s="31" t="s">
        <v>29</v>
      </c>
      <c r="C27" s="27"/>
      <c r="D27" s="32">
        <v>0.0</v>
      </c>
      <c r="E27" s="32">
        <v>0.0</v>
      </c>
      <c r="F27" s="32">
        <v>0.0</v>
      </c>
      <c r="G27" s="33">
        <v>0.0</v>
      </c>
      <c r="H27" s="33">
        <v>0.0</v>
      </c>
      <c r="I27" s="33">
        <v>0.0</v>
      </c>
      <c r="J27" s="33">
        <v>0.0</v>
      </c>
      <c r="K27" s="33">
        <v>0.0</v>
      </c>
      <c r="L27" s="33">
        <v>0.0</v>
      </c>
      <c r="M27" s="33">
        <v>0.0</v>
      </c>
      <c r="N27" s="33">
        <v>0.0</v>
      </c>
      <c r="O27" s="33">
        <v>0.0</v>
      </c>
      <c r="P27" s="34"/>
      <c r="Q27" s="33">
        <f t="shared" si="8"/>
        <v>0</v>
      </c>
      <c r="S27" s="3"/>
      <c r="T27" s="3"/>
      <c r="U27" s="3"/>
      <c r="V27" s="3"/>
    </row>
    <row r="28" ht="19.5" hidden="1" customHeight="1">
      <c r="A28" s="7"/>
      <c r="B28" s="16" t="s">
        <v>36</v>
      </c>
      <c r="C28" s="17"/>
      <c r="D28" s="18">
        <f t="shared" ref="D28:O28" si="9">SUM(D23:D27)</f>
        <v>0</v>
      </c>
      <c r="E28" s="18">
        <f t="shared" si="9"/>
        <v>0</v>
      </c>
      <c r="F28" s="18">
        <f t="shared" si="9"/>
        <v>0</v>
      </c>
      <c r="G28" s="18">
        <f t="shared" si="9"/>
        <v>0</v>
      </c>
      <c r="H28" s="18">
        <f t="shared" si="9"/>
        <v>0</v>
      </c>
      <c r="I28" s="18">
        <f t="shared" si="9"/>
        <v>0</v>
      </c>
      <c r="J28" s="18">
        <f t="shared" si="9"/>
        <v>0</v>
      </c>
      <c r="K28" s="18">
        <f t="shared" si="9"/>
        <v>0</v>
      </c>
      <c r="L28" s="18">
        <f t="shared" si="9"/>
        <v>0</v>
      </c>
      <c r="M28" s="18">
        <f t="shared" si="9"/>
        <v>0</v>
      </c>
      <c r="N28" s="18">
        <f t="shared" si="9"/>
        <v>0</v>
      </c>
      <c r="O28" s="18">
        <f t="shared" si="9"/>
        <v>0</v>
      </c>
      <c r="P28" s="19"/>
      <c r="Q28" s="18">
        <f>SUM(Q23:Q27)</f>
        <v>0</v>
      </c>
      <c r="S28" s="7"/>
      <c r="T28" s="7"/>
      <c r="U28" s="7"/>
      <c r="V28" s="7"/>
    </row>
    <row r="29" ht="19.5" hidden="1" customHeight="1">
      <c r="A29" s="7"/>
      <c r="B29" s="7"/>
      <c r="C29" s="1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9"/>
      <c r="Q29" s="7"/>
      <c r="S29" s="7"/>
      <c r="T29" s="7"/>
      <c r="U29" s="7"/>
      <c r="V29" s="7"/>
    </row>
    <row r="30" ht="19.5" customHeight="1">
      <c r="A30" s="7"/>
      <c r="B30" s="16" t="s">
        <v>37</v>
      </c>
      <c r="C30" s="17"/>
      <c r="D30" s="18">
        <f t="shared" ref="D30:O30" si="10">D20-D28</f>
        <v>10833.33</v>
      </c>
      <c r="E30" s="18">
        <f t="shared" si="10"/>
        <v>10833.33</v>
      </c>
      <c r="F30" s="18">
        <f t="shared" si="10"/>
        <v>10833.33</v>
      </c>
      <c r="G30" s="18">
        <f t="shared" si="10"/>
        <v>10833.33</v>
      </c>
      <c r="H30" s="18">
        <f t="shared" si="10"/>
        <v>10833.33</v>
      </c>
      <c r="I30" s="18">
        <f t="shared" si="10"/>
        <v>10833.33</v>
      </c>
      <c r="J30" s="18">
        <f t="shared" si="10"/>
        <v>10833.33</v>
      </c>
      <c r="K30" s="18">
        <f t="shared" si="10"/>
        <v>10833.33</v>
      </c>
      <c r="L30" s="18">
        <f t="shared" si="10"/>
        <v>10833.33</v>
      </c>
      <c r="M30" s="18">
        <f t="shared" si="10"/>
        <v>10833.33</v>
      </c>
      <c r="N30" s="18">
        <f t="shared" si="10"/>
        <v>10833.33</v>
      </c>
      <c r="O30" s="18">
        <f t="shared" si="10"/>
        <v>13833.33</v>
      </c>
      <c r="P30" s="19"/>
      <c r="Q30" s="18">
        <f>Q20-Q28</f>
        <v>132999.96</v>
      </c>
      <c r="S30" s="7"/>
      <c r="T30" s="7"/>
      <c r="U30" s="7"/>
      <c r="V30" s="7"/>
    </row>
    <row r="31" ht="19.5" customHeight="1">
      <c r="A31" s="7"/>
      <c r="B31" s="7"/>
      <c r="C31" s="1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9"/>
      <c r="Q31" s="7"/>
      <c r="S31" s="7"/>
      <c r="T31" s="7"/>
      <c r="U31" s="7"/>
      <c r="V31" s="7"/>
    </row>
    <row r="32" ht="31.5" customHeight="1">
      <c r="A32" s="7"/>
      <c r="B32" s="35" t="s">
        <v>38</v>
      </c>
      <c r="C32" s="15" t="s">
        <v>6</v>
      </c>
      <c r="D32" s="15" t="s">
        <v>7</v>
      </c>
      <c r="E32" s="15" t="s">
        <v>8</v>
      </c>
      <c r="F32" s="15" t="s">
        <v>9</v>
      </c>
      <c r="G32" s="15" t="s">
        <v>10</v>
      </c>
      <c r="H32" s="15" t="s">
        <v>11</v>
      </c>
      <c r="I32" s="15" t="s">
        <v>12</v>
      </c>
      <c r="J32" s="15" t="s">
        <v>13</v>
      </c>
      <c r="K32" s="15" t="s">
        <v>14</v>
      </c>
      <c r="L32" s="15" t="s">
        <v>15</v>
      </c>
      <c r="M32" s="15" t="s">
        <v>16</v>
      </c>
      <c r="N32" s="15" t="s">
        <v>17</v>
      </c>
      <c r="O32" s="15" t="s">
        <v>18</v>
      </c>
      <c r="P32" s="19"/>
      <c r="Q32" s="25" t="s">
        <v>19</v>
      </c>
      <c r="S32" s="7"/>
      <c r="T32" s="7"/>
      <c r="U32" s="7"/>
      <c r="V32" s="7"/>
    </row>
    <row r="33" ht="19.5" customHeight="1">
      <c r="A33" s="36">
        <v>0.175</v>
      </c>
      <c r="B33" s="26" t="s">
        <v>39</v>
      </c>
      <c r="C33" s="27"/>
      <c r="D33" s="32">
        <f t="shared" ref="D33:N33" si="11">D14*$A$33</f>
        <v>1895.83275</v>
      </c>
      <c r="E33" s="32">
        <f t="shared" si="11"/>
        <v>1895.83275</v>
      </c>
      <c r="F33" s="32">
        <f t="shared" si="11"/>
        <v>1895.83275</v>
      </c>
      <c r="G33" s="32">
        <f t="shared" si="11"/>
        <v>1895.83275</v>
      </c>
      <c r="H33" s="32">
        <f t="shared" si="11"/>
        <v>1895.83275</v>
      </c>
      <c r="I33" s="32">
        <f t="shared" si="11"/>
        <v>1895.83275</v>
      </c>
      <c r="J33" s="32">
        <f t="shared" si="11"/>
        <v>1895.83275</v>
      </c>
      <c r="K33" s="32">
        <f t="shared" si="11"/>
        <v>1895.83275</v>
      </c>
      <c r="L33" s="32">
        <f t="shared" si="11"/>
        <v>1895.83275</v>
      </c>
      <c r="M33" s="32">
        <f t="shared" si="11"/>
        <v>1895.83275</v>
      </c>
      <c r="N33" s="32">
        <f t="shared" si="11"/>
        <v>1895.83275</v>
      </c>
      <c r="O33" s="32">
        <f>(O14+O15)*$A$33</f>
        <v>2420.83275</v>
      </c>
      <c r="P33" s="19"/>
      <c r="Q33" s="33">
        <f t="shared" ref="Q33:Q35" si="13">SUM(D33:O33)</f>
        <v>23274.993</v>
      </c>
      <c r="S33" s="30"/>
      <c r="T33" s="30"/>
      <c r="U33" s="30"/>
      <c r="V33" s="30"/>
    </row>
    <row r="34" ht="19.5" customHeight="1">
      <c r="A34" s="36">
        <v>0.1</v>
      </c>
      <c r="B34" s="26" t="s">
        <v>40</v>
      </c>
      <c r="C34" s="27"/>
      <c r="D34" s="32">
        <f t="shared" ref="D34:O34" si="12">D14*$A$34</f>
        <v>1083.333</v>
      </c>
      <c r="E34" s="32">
        <f t="shared" si="12"/>
        <v>1083.333</v>
      </c>
      <c r="F34" s="32">
        <f t="shared" si="12"/>
        <v>1083.333</v>
      </c>
      <c r="G34" s="32">
        <f t="shared" si="12"/>
        <v>1083.333</v>
      </c>
      <c r="H34" s="32">
        <f t="shared" si="12"/>
        <v>1083.333</v>
      </c>
      <c r="I34" s="32">
        <f t="shared" si="12"/>
        <v>1083.333</v>
      </c>
      <c r="J34" s="32">
        <f t="shared" si="12"/>
        <v>1083.333</v>
      </c>
      <c r="K34" s="32">
        <f t="shared" si="12"/>
        <v>1083.333</v>
      </c>
      <c r="L34" s="32">
        <f t="shared" si="12"/>
        <v>1083.333</v>
      </c>
      <c r="M34" s="32">
        <f t="shared" si="12"/>
        <v>1083.333</v>
      </c>
      <c r="N34" s="32">
        <f t="shared" si="12"/>
        <v>1083.333</v>
      </c>
      <c r="O34" s="32">
        <f t="shared" si="12"/>
        <v>1083.333</v>
      </c>
      <c r="P34" s="34"/>
      <c r="Q34" s="33">
        <f t="shared" si="13"/>
        <v>12999.996</v>
      </c>
      <c r="S34" s="7"/>
      <c r="T34" s="7"/>
      <c r="U34" s="7"/>
      <c r="V34" s="7"/>
    </row>
    <row r="35" ht="19.5" customHeight="1">
      <c r="A35" s="3"/>
      <c r="B35" s="31" t="s">
        <v>29</v>
      </c>
      <c r="C35" s="27"/>
      <c r="D35" s="32">
        <v>0.0</v>
      </c>
      <c r="E35" s="32"/>
      <c r="F35" s="32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4"/>
      <c r="Q35" s="33">
        <f t="shared" si="13"/>
        <v>0</v>
      </c>
      <c r="S35" s="3"/>
      <c r="T35" s="3"/>
      <c r="U35" s="3"/>
      <c r="V35" s="3"/>
    </row>
    <row r="36" ht="19.5" customHeight="1">
      <c r="A36" s="7"/>
      <c r="B36" s="16" t="s">
        <v>41</v>
      </c>
      <c r="C36" s="17"/>
      <c r="D36" s="18">
        <f t="shared" ref="D36:O36" si="14">SUM(D33:D35)</f>
        <v>2979.16575</v>
      </c>
      <c r="E36" s="18">
        <f t="shared" si="14"/>
        <v>2979.16575</v>
      </c>
      <c r="F36" s="18">
        <f t="shared" si="14"/>
        <v>2979.16575</v>
      </c>
      <c r="G36" s="18">
        <f t="shared" si="14"/>
        <v>2979.16575</v>
      </c>
      <c r="H36" s="18">
        <f t="shared" si="14"/>
        <v>2979.16575</v>
      </c>
      <c r="I36" s="18">
        <f t="shared" si="14"/>
        <v>2979.16575</v>
      </c>
      <c r="J36" s="18">
        <f t="shared" si="14"/>
        <v>2979.16575</v>
      </c>
      <c r="K36" s="18">
        <f t="shared" si="14"/>
        <v>2979.16575</v>
      </c>
      <c r="L36" s="18">
        <f t="shared" si="14"/>
        <v>2979.16575</v>
      </c>
      <c r="M36" s="18">
        <f t="shared" si="14"/>
        <v>2979.16575</v>
      </c>
      <c r="N36" s="18">
        <f t="shared" si="14"/>
        <v>2979.16575</v>
      </c>
      <c r="O36" s="18">
        <f t="shared" si="14"/>
        <v>3504.16575</v>
      </c>
      <c r="P36" s="19"/>
      <c r="Q36" s="18">
        <f>SUM(Q33:Q35)</f>
        <v>36274.989</v>
      </c>
      <c r="S36" s="7"/>
      <c r="T36" s="7"/>
      <c r="U36" s="7"/>
      <c r="V36" s="7"/>
    </row>
    <row r="37" ht="19.5" customHeight="1">
      <c r="A37" s="7"/>
      <c r="B37" s="7"/>
      <c r="C37" s="1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19"/>
      <c r="Q37" s="7"/>
      <c r="S37" s="7"/>
      <c r="T37" s="7"/>
      <c r="U37" s="7"/>
      <c r="V37" s="7"/>
    </row>
    <row r="38" ht="19.5" customHeight="1">
      <c r="A38" s="7"/>
      <c r="B38" s="16" t="s">
        <v>20</v>
      </c>
      <c r="C38" s="17"/>
      <c r="D38" s="18">
        <f t="shared" ref="D38:O38" si="15">D20-D28-D36</f>
        <v>7854.16425</v>
      </c>
      <c r="E38" s="18">
        <f t="shared" si="15"/>
        <v>7854.16425</v>
      </c>
      <c r="F38" s="18">
        <f t="shared" si="15"/>
        <v>7854.16425</v>
      </c>
      <c r="G38" s="18">
        <f t="shared" si="15"/>
        <v>7854.16425</v>
      </c>
      <c r="H38" s="18">
        <f t="shared" si="15"/>
        <v>7854.16425</v>
      </c>
      <c r="I38" s="18">
        <f t="shared" si="15"/>
        <v>7854.16425</v>
      </c>
      <c r="J38" s="18">
        <f t="shared" si="15"/>
        <v>7854.16425</v>
      </c>
      <c r="K38" s="18">
        <f t="shared" si="15"/>
        <v>7854.16425</v>
      </c>
      <c r="L38" s="18">
        <f t="shared" si="15"/>
        <v>7854.16425</v>
      </c>
      <c r="M38" s="18">
        <f t="shared" si="15"/>
        <v>7854.16425</v>
      </c>
      <c r="N38" s="18">
        <f t="shared" si="15"/>
        <v>7854.16425</v>
      </c>
      <c r="O38" s="18">
        <f t="shared" si="15"/>
        <v>10329.16425</v>
      </c>
      <c r="P38" s="19"/>
      <c r="Q38" s="18">
        <f>Q20-Q28-Q36</f>
        <v>96724.971</v>
      </c>
      <c r="S38" s="7"/>
      <c r="T38" s="7"/>
      <c r="U38" s="7"/>
      <c r="V38" s="7"/>
    </row>
    <row r="39" ht="19.5" customHeight="1">
      <c r="A39" s="7"/>
      <c r="B39" s="12"/>
      <c r="C39" s="19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9"/>
      <c r="Q39" s="13"/>
      <c r="S39" s="7"/>
      <c r="T39" s="7"/>
      <c r="U39" s="7"/>
      <c r="V39" s="7"/>
    </row>
    <row r="40" ht="31.5" customHeight="1">
      <c r="A40" s="7"/>
      <c r="B40" s="24" t="s">
        <v>42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P40" s="19"/>
      <c r="Q40" s="39"/>
      <c r="S40" s="7"/>
      <c r="T40" s="7"/>
      <c r="U40" s="7"/>
      <c r="V40" s="7"/>
    </row>
    <row r="41" ht="19.5" hidden="1" customHeight="1">
      <c r="A41" s="7"/>
      <c r="B41" s="40" t="s">
        <v>43</v>
      </c>
      <c r="C41" s="25" t="s">
        <v>6</v>
      </c>
      <c r="D41" s="41" t="s">
        <v>7</v>
      </c>
      <c r="E41" s="41" t="s">
        <v>8</v>
      </c>
      <c r="F41" s="41" t="s">
        <v>9</v>
      </c>
      <c r="G41" s="41" t="s">
        <v>10</v>
      </c>
      <c r="H41" s="41" t="s">
        <v>11</v>
      </c>
      <c r="I41" s="41" t="s">
        <v>12</v>
      </c>
      <c r="J41" s="41" t="s">
        <v>13</v>
      </c>
      <c r="K41" s="41" t="s">
        <v>14</v>
      </c>
      <c r="L41" s="41" t="s">
        <v>15</v>
      </c>
      <c r="M41" s="41" t="s">
        <v>16</v>
      </c>
      <c r="N41" s="41" t="s">
        <v>17</v>
      </c>
      <c r="O41" s="41" t="s">
        <v>18</v>
      </c>
      <c r="P41" s="19"/>
      <c r="Q41" s="25" t="s">
        <v>19</v>
      </c>
      <c r="S41" s="7"/>
      <c r="T41" s="7"/>
      <c r="U41" s="7"/>
      <c r="V41" s="7"/>
    </row>
    <row r="42" ht="19.5" hidden="1" customHeight="1">
      <c r="A42" s="7"/>
      <c r="B42" s="31" t="s">
        <v>44</v>
      </c>
      <c r="C42" s="27"/>
      <c r="D42" s="28">
        <v>0.0</v>
      </c>
      <c r="E42" s="28">
        <v>0.0</v>
      </c>
      <c r="F42" s="28">
        <v>0.0</v>
      </c>
      <c r="G42" s="29">
        <v>0.0</v>
      </c>
      <c r="H42" s="29">
        <v>0.0</v>
      </c>
      <c r="I42" s="29">
        <v>0.0</v>
      </c>
      <c r="J42" s="29">
        <v>0.0</v>
      </c>
      <c r="K42" s="29">
        <v>0.0</v>
      </c>
      <c r="L42" s="29">
        <v>0.0</v>
      </c>
      <c r="M42" s="29">
        <v>0.0</v>
      </c>
      <c r="N42" s="29">
        <v>0.0</v>
      </c>
      <c r="O42" s="29">
        <v>0.0</v>
      </c>
      <c r="P42" s="42"/>
      <c r="Q42" s="29">
        <f t="shared" ref="Q42:Q50" si="16">SUM(D42:O42)</f>
        <v>0</v>
      </c>
      <c r="R42" s="7"/>
      <c r="S42" s="7"/>
      <c r="T42" s="7"/>
      <c r="U42" s="7"/>
      <c r="V42" s="7"/>
      <c r="W42" s="7"/>
      <c r="X42" s="7"/>
    </row>
    <row r="43" ht="19.5" hidden="1" customHeight="1">
      <c r="A43" s="43"/>
      <c r="B43" s="31" t="s">
        <v>45</v>
      </c>
      <c r="C43" s="27"/>
      <c r="D43" s="29">
        <v>0.0</v>
      </c>
      <c r="E43" s="29">
        <v>0.0</v>
      </c>
      <c r="F43" s="29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19"/>
      <c r="Q43" s="29">
        <f t="shared" si="16"/>
        <v>0</v>
      </c>
      <c r="S43" s="43"/>
      <c r="T43" s="43"/>
      <c r="U43" s="43"/>
      <c r="V43" s="43"/>
      <c r="W43" s="43"/>
      <c r="X43" s="43"/>
      <c r="Y43" s="43"/>
      <c r="Z43" s="43"/>
    </row>
    <row r="44" ht="19.5" hidden="1" customHeight="1">
      <c r="A44" s="7"/>
      <c r="B44" s="31" t="s">
        <v>46</v>
      </c>
      <c r="C44" s="27"/>
      <c r="D44" s="28">
        <v>0.0</v>
      </c>
      <c r="E44" s="28">
        <v>0.0</v>
      </c>
      <c r="F44" s="28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42"/>
      <c r="Q44" s="29">
        <f t="shared" si="16"/>
        <v>0</v>
      </c>
      <c r="R44" s="7"/>
      <c r="S44" s="7"/>
      <c r="T44" s="7"/>
      <c r="U44" s="7"/>
      <c r="V44" s="7"/>
      <c r="W44" s="7"/>
      <c r="X44" s="7"/>
    </row>
    <row r="45" ht="19.5" hidden="1" customHeight="1">
      <c r="A45" s="7"/>
      <c r="B45" s="31" t="s">
        <v>47</v>
      </c>
      <c r="C45" s="27"/>
      <c r="D45" s="29">
        <v>0.0</v>
      </c>
      <c r="E45" s="29">
        <v>0.0</v>
      </c>
      <c r="F45" s="29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19"/>
      <c r="Q45" s="29">
        <f t="shared" si="16"/>
        <v>0</v>
      </c>
      <c r="S45" s="7"/>
      <c r="T45" s="7"/>
      <c r="U45" s="7"/>
      <c r="V45" s="7"/>
      <c r="W45" s="7"/>
      <c r="X45" s="7"/>
    </row>
    <row r="46" ht="19.5" hidden="1" customHeight="1">
      <c r="A46" s="7"/>
      <c r="B46" s="31" t="s">
        <v>48</v>
      </c>
      <c r="C46" s="27"/>
      <c r="D46" s="29">
        <v>0.0</v>
      </c>
      <c r="E46" s="29">
        <v>0.0</v>
      </c>
      <c r="F46" s="29">
        <v>0.0</v>
      </c>
      <c r="G46" s="29">
        <v>0.0</v>
      </c>
      <c r="H46" s="29">
        <v>0.0</v>
      </c>
      <c r="I46" s="29">
        <v>0.0</v>
      </c>
      <c r="J46" s="29">
        <v>0.0</v>
      </c>
      <c r="K46" s="29">
        <v>0.0</v>
      </c>
      <c r="L46" s="29">
        <v>0.0</v>
      </c>
      <c r="M46" s="29">
        <v>0.0</v>
      </c>
      <c r="N46" s="29">
        <v>0.0</v>
      </c>
      <c r="O46" s="29">
        <v>0.0</v>
      </c>
      <c r="P46" s="19"/>
      <c r="Q46" s="29">
        <f t="shared" si="16"/>
        <v>0</v>
      </c>
      <c r="S46" s="7"/>
      <c r="T46" s="7"/>
      <c r="U46" s="7"/>
      <c r="V46" s="7"/>
      <c r="W46" s="7"/>
      <c r="X46" s="7"/>
    </row>
    <row r="47" ht="19.5" hidden="1" customHeight="1">
      <c r="A47" s="7"/>
      <c r="B47" s="31" t="s">
        <v>49</v>
      </c>
      <c r="C47" s="27"/>
      <c r="D47" s="29">
        <v>0.0</v>
      </c>
      <c r="E47" s="29">
        <v>0.0</v>
      </c>
      <c r="F47" s="29">
        <v>0.0</v>
      </c>
      <c r="G47" s="29">
        <v>0.0</v>
      </c>
      <c r="H47" s="29">
        <v>0.0</v>
      </c>
      <c r="I47" s="29">
        <v>0.0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9">
        <v>0.0</v>
      </c>
      <c r="P47" s="42"/>
      <c r="Q47" s="29">
        <f t="shared" si="16"/>
        <v>0</v>
      </c>
      <c r="R47" s="7"/>
      <c r="S47" s="7"/>
      <c r="T47" s="7"/>
      <c r="U47" s="7"/>
      <c r="V47" s="7"/>
      <c r="W47" s="7"/>
      <c r="X47" s="7"/>
    </row>
    <row r="48" ht="19.5" hidden="1" customHeight="1">
      <c r="A48" s="43"/>
      <c r="B48" s="31" t="s">
        <v>50</v>
      </c>
      <c r="C48" s="27"/>
      <c r="D48" s="29">
        <v>0.0</v>
      </c>
      <c r="E48" s="29">
        <v>0.0</v>
      </c>
      <c r="F48" s="29">
        <v>0.0</v>
      </c>
      <c r="G48" s="29">
        <v>0.0</v>
      </c>
      <c r="H48" s="29">
        <v>0.0</v>
      </c>
      <c r="I48" s="29">
        <v>0.0</v>
      </c>
      <c r="J48" s="29">
        <v>0.0</v>
      </c>
      <c r="K48" s="29">
        <v>0.0</v>
      </c>
      <c r="L48" s="29">
        <v>0.0</v>
      </c>
      <c r="M48" s="29">
        <v>0.0</v>
      </c>
      <c r="N48" s="29">
        <v>0.0</v>
      </c>
      <c r="O48" s="29">
        <v>0.0</v>
      </c>
      <c r="P48" s="19"/>
      <c r="Q48" s="29">
        <f t="shared" si="16"/>
        <v>0</v>
      </c>
      <c r="S48" s="43"/>
      <c r="T48" s="43"/>
      <c r="U48" s="43"/>
      <c r="V48" s="43"/>
      <c r="W48" s="43"/>
      <c r="X48" s="43"/>
      <c r="Y48" s="43"/>
      <c r="Z48" s="43"/>
    </row>
    <row r="49" ht="19.5" hidden="1" customHeight="1">
      <c r="A49" s="7"/>
      <c r="B49" s="31" t="s">
        <v>51</v>
      </c>
      <c r="C49" s="27"/>
      <c r="D49" s="29">
        <v>0.0</v>
      </c>
      <c r="E49" s="28">
        <v>0.0</v>
      </c>
      <c r="F49" s="29">
        <v>0.0</v>
      </c>
      <c r="G49" s="29">
        <v>0.0</v>
      </c>
      <c r="H49" s="29">
        <v>0.0</v>
      </c>
      <c r="I49" s="29">
        <v>0.0</v>
      </c>
      <c r="J49" s="29">
        <v>0.0</v>
      </c>
      <c r="K49" s="29">
        <v>0.0</v>
      </c>
      <c r="L49" s="29">
        <v>0.0</v>
      </c>
      <c r="M49" s="29">
        <v>0.0</v>
      </c>
      <c r="N49" s="29">
        <v>0.0</v>
      </c>
      <c r="O49" s="29">
        <v>0.0</v>
      </c>
      <c r="P49" s="42"/>
      <c r="Q49" s="29">
        <f t="shared" si="16"/>
        <v>0</v>
      </c>
      <c r="R49" s="7"/>
      <c r="S49" s="7"/>
      <c r="T49" s="7"/>
      <c r="U49" s="7"/>
      <c r="V49" s="7"/>
      <c r="W49" s="7"/>
      <c r="X49" s="7"/>
    </row>
    <row r="50" ht="19.5" hidden="1" customHeight="1">
      <c r="A50" s="7"/>
      <c r="B50" s="31" t="s">
        <v>29</v>
      </c>
      <c r="C50" s="27"/>
      <c r="D50" s="29">
        <v>0.0</v>
      </c>
      <c r="E50" s="29">
        <v>0.0</v>
      </c>
      <c r="F50" s="29">
        <v>0.0</v>
      </c>
      <c r="G50" s="29">
        <v>0.0</v>
      </c>
      <c r="H50" s="29">
        <v>0.0</v>
      </c>
      <c r="I50" s="29">
        <v>0.0</v>
      </c>
      <c r="J50" s="29">
        <v>0.0</v>
      </c>
      <c r="K50" s="29">
        <v>0.0</v>
      </c>
      <c r="L50" s="29">
        <v>0.0</v>
      </c>
      <c r="M50" s="29">
        <v>0.0</v>
      </c>
      <c r="N50" s="29">
        <v>0.0</v>
      </c>
      <c r="O50" s="29">
        <v>0.0</v>
      </c>
      <c r="P50" s="19"/>
      <c r="Q50" s="29">
        <f t="shared" si="16"/>
        <v>0</v>
      </c>
      <c r="S50" s="7"/>
      <c r="T50" s="7"/>
      <c r="U50" s="7"/>
      <c r="V50" s="7"/>
      <c r="W50" s="7"/>
      <c r="X50" s="7"/>
    </row>
    <row r="51" ht="19.5" hidden="1" customHeight="1">
      <c r="A51" s="7"/>
      <c r="B51" s="16" t="s">
        <v>52</v>
      </c>
      <c r="C51" s="17"/>
      <c r="D51" s="18">
        <f t="shared" ref="D51:O51" si="17">SUM(D42:D50)</f>
        <v>0</v>
      </c>
      <c r="E51" s="18">
        <f t="shared" si="17"/>
        <v>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0</v>
      </c>
      <c r="O51" s="18">
        <f t="shared" si="17"/>
        <v>0</v>
      </c>
      <c r="P51" s="42"/>
      <c r="Q51" s="18">
        <f>SUM(Q42:Q50)</f>
        <v>0</v>
      </c>
      <c r="R51" s="7"/>
      <c r="S51" s="7"/>
      <c r="T51" s="7"/>
      <c r="U51" s="7"/>
      <c r="V51" s="7"/>
      <c r="W51" s="7"/>
      <c r="X51" s="7"/>
    </row>
    <row r="52" ht="19.5" hidden="1" customHeight="1">
      <c r="A52" s="7"/>
      <c r="B52" s="44"/>
      <c r="C52" s="7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7"/>
      <c r="Q52" s="44"/>
      <c r="R52" s="7"/>
      <c r="S52" s="7"/>
      <c r="T52" s="7"/>
      <c r="U52" s="7"/>
      <c r="V52" s="7"/>
      <c r="W52" s="7"/>
      <c r="X52" s="7"/>
    </row>
    <row r="53" ht="19.5" hidden="1" customHeight="1">
      <c r="A53" s="7"/>
      <c r="B53" s="45" t="s">
        <v>53</v>
      </c>
      <c r="C53" s="25" t="s">
        <v>6</v>
      </c>
      <c r="D53" s="25" t="s">
        <v>7</v>
      </c>
      <c r="E53" s="25" t="s">
        <v>8</v>
      </c>
      <c r="F53" s="25" t="s">
        <v>9</v>
      </c>
      <c r="G53" s="25" t="s">
        <v>10</v>
      </c>
      <c r="H53" s="25" t="s">
        <v>11</v>
      </c>
      <c r="I53" s="25" t="s">
        <v>12</v>
      </c>
      <c r="J53" s="25" t="s">
        <v>13</v>
      </c>
      <c r="K53" s="25" t="s">
        <v>14</v>
      </c>
      <c r="L53" s="25" t="s">
        <v>15</v>
      </c>
      <c r="M53" s="25" t="s">
        <v>16</v>
      </c>
      <c r="N53" s="25" t="s">
        <v>17</v>
      </c>
      <c r="O53" s="25" t="s">
        <v>18</v>
      </c>
      <c r="P53" s="7"/>
      <c r="Q53" s="25" t="s">
        <v>19</v>
      </c>
      <c r="R53" s="7"/>
      <c r="S53" s="7"/>
      <c r="T53" s="7"/>
      <c r="U53" s="7"/>
      <c r="V53" s="7"/>
      <c r="W53" s="7"/>
      <c r="X53" s="7"/>
    </row>
    <row r="54" ht="19.5" hidden="1" customHeight="1">
      <c r="A54" s="7"/>
      <c r="B54" s="31" t="s">
        <v>54</v>
      </c>
      <c r="C54" s="27"/>
      <c r="D54" s="29">
        <v>0.0</v>
      </c>
      <c r="E54" s="28">
        <v>0.0</v>
      </c>
      <c r="F54" s="29">
        <v>0.0</v>
      </c>
      <c r="G54" s="29">
        <v>0.0</v>
      </c>
      <c r="H54" s="29">
        <v>0.0</v>
      </c>
      <c r="I54" s="29">
        <v>0.0</v>
      </c>
      <c r="J54" s="29">
        <v>0.0</v>
      </c>
      <c r="K54" s="29">
        <v>0.0</v>
      </c>
      <c r="L54" s="29">
        <v>0.0</v>
      </c>
      <c r="M54" s="29">
        <v>0.0</v>
      </c>
      <c r="N54" s="29">
        <v>0.0</v>
      </c>
      <c r="O54" s="29">
        <v>0.0</v>
      </c>
      <c r="P54" s="7"/>
      <c r="Q54" s="29">
        <f t="shared" ref="Q54:Q58" si="18">SUM(D54:O54)</f>
        <v>0</v>
      </c>
      <c r="R54" s="7"/>
      <c r="S54" s="7"/>
      <c r="T54" s="7"/>
      <c r="U54" s="7"/>
      <c r="V54" s="7"/>
      <c r="W54" s="7"/>
      <c r="X54" s="7"/>
    </row>
    <row r="55" ht="19.5" hidden="1" customHeight="1">
      <c r="A55" s="7"/>
      <c r="B55" s="31" t="s">
        <v>55</v>
      </c>
      <c r="C55" s="27"/>
      <c r="D55" s="29">
        <v>0.0</v>
      </c>
      <c r="E55" s="29">
        <v>0.0</v>
      </c>
      <c r="F55" s="29">
        <v>0.0</v>
      </c>
      <c r="G55" s="29">
        <v>0.0</v>
      </c>
      <c r="H55" s="29">
        <v>0.0</v>
      </c>
      <c r="I55" s="29">
        <v>0.0</v>
      </c>
      <c r="J55" s="29">
        <v>0.0</v>
      </c>
      <c r="K55" s="29">
        <v>0.0</v>
      </c>
      <c r="L55" s="29">
        <v>0.0</v>
      </c>
      <c r="M55" s="29">
        <v>0.0</v>
      </c>
      <c r="N55" s="29">
        <v>0.0</v>
      </c>
      <c r="O55" s="29">
        <v>0.0</v>
      </c>
      <c r="P55" s="7"/>
      <c r="Q55" s="29">
        <f t="shared" si="18"/>
        <v>0</v>
      </c>
      <c r="R55" s="7"/>
      <c r="S55" s="7"/>
      <c r="T55" s="7"/>
      <c r="U55" s="7"/>
      <c r="V55" s="7"/>
      <c r="W55" s="7"/>
      <c r="X55" s="7"/>
    </row>
    <row r="56" ht="19.5" hidden="1" customHeight="1">
      <c r="A56" s="7"/>
      <c r="B56" s="31" t="s">
        <v>56</v>
      </c>
      <c r="C56" s="27"/>
      <c r="D56" s="29">
        <v>0.0</v>
      </c>
      <c r="E56" s="29">
        <v>0.0</v>
      </c>
      <c r="F56" s="29">
        <v>0.0</v>
      </c>
      <c r="G56" s="29">
        <v>0.0</v>
      </c>
      <c r="H56" s="29">
        <v>0.0</v>
      </c>
      <c r="I56" s="29">
        <v>0.0</v>
      </c>
      <c r="J56" s="29">
        <v>0.0</v>
      </c>
      <c r="K56" s="29">
        <v>0.0</v>
      </c>
      <c r="L56" s="29">
        <v>0.0</v>
      </c>
      <c r="M56" s="29">
        <v>0.0</v>
      </c>
      <c r="N56" s="29">
        <v>0.0</v>
      </c>
      <c r="O56" s="29">
        <v>0.0</v>
      </c>
      <c r="P56" s="7"/>
      <c r="Q56" s="29">
        <f t="shared" si="18"/>
        <v>0</v>
      </c>
      <c r="R56" s="7"/>
      <c r="S56" s="7"/>
      <c r="T56" s="7"/>
      <c r="U56" s="7"/>
      <c r="V56" s="7"/>
      <c r="W56" s="7"/>
      <c r="X56" s="7"/>
    </row>
    <row r="57" ht="19.5" hidden="1" customHeight="1">
      <c r="A57" s="7"/>
      <c r="B57" s="31" t="s">
        <v>29</v>
      </c>
      <c r="C57" s="27"/>
      <c r="D57" s="29">
        <v>0.0</v>
      </c>
      <c r="E57" s="29">
        <v>0.0</v>
      </c>
      <c r="F57" s="29">
        <v>0.0</v>
      </c>
      <c r="G57" s="29">
        <v>0.0</v>
      </c>
      <c r="H57" s="29">
        <v>0.0</v>
      </c>
      <c r="I57" s="29">
        <v>0.0</v>
      </c>
      <c r="J57" s="29">
        <v>0.0</v>
      </c>
      <c r="K57" s="29">
        <v>0.0</v>
      </c>
      <c r="L57" s="29">
        <v>0.0</v>
      </c>
      <c r="M57" s="29">
        <v>0.0</v>
      </c>
      <c r="N57" s="29">
        <v>0.0</v>
      </c>
      <c r="O57" s="29">
        <v>0.0</v>
      </c>
      <c r="P57" s="7"/>
      <c r="Q57" s="29">
        <f t="shared" si="18"/>
        <v>0</v>
      </c>
      <c r="R57" s="7"/>
      <c r="S57" s="7"/>
      <c r="T57" s="7"/>
      <c r="U57" s="7"/>
      <c r="V57" s="7"/>
      <c r="W57" s="7"/>
      <c r="X57" s="7"/>
    </row>
    <row r="58" ht="19.5" hidden="1" customHeight="1">
      <c r="A58" s="7"/>
      <c r="B58" s="31" t="s">
        <v>29</v>
      </c>
      <c r="C58" s="27"/>
      <c r="D58" s="29">
        <v>0.0</v>
      </c>
      <c r="E58" s="29">
        <v>0.0</v>
      </c>
      <c r="F58" s="29">
        <v>0.0</v>
      </c>
      <c r="G58" s="29">
        <v>0.0</v>
      </c>
      <c r="H58" s="29">
        <v>0.0</v>
      </c>
      <c r="I58" s="29">
        <v>0.0</v>
      </c>
      <c r="J58" s="29">
        <v>0.0</v>
      </c>
      <c r="K58" s="29">
        <v>0.0</v>
      </c>
      <c r="L58" s="29">
        <v>0.0</v>
      </c>
      <c r="M58" s="29">
        <v>0.0</v>
      </c>
      <c r="N58" s="29">
        <v>0.0</v>
      </c>
      <c r="O58" s="29">
        <v>0.0</v>
      </c>
      <c r="P58" s="7"/>
      <c r="Q58" s="29">
        <f t="shared" si="18"/>
        <v>0</v>
      </c>
      <c r="R58" s="7"/>
      <c r="S58" s="7"/>
      <c r="T58" s="7"/>
      <c r="U58" s="7"/>
      <c r="V58" s="7"/>
      <c r="W58" s="7"/>
      <c r="X58" s="7"/>
    </row>
    <row r="59" ht="19.5" hidden="1" customHeight="1">
      <c r="A59" s="7"/>
      <c r="B59" s="16" t="s">
        <v>57</v>
      </c>
      <c r="C59" s="17"/>
      <c r="D59" s="18">
        <f t="shared" ref="D59:O59" si="19">SUM(D54:D58)</f>
        <v>0</v>
      </c>
      <c r="E59" s="18">
        <f t="shared" si="19"/>
        <v>0</v>
      </c>
      <c r="F59" s="18">
        <f t="shared" si="19"/>
        <v>0</v>
      </c>
      <c r="G59" s="18">
        <f t="shared" si="19"/>
        <v>0</v>
      </c>
      <c r="H59" s="18">
        <f t="shared" si="19"/>
        <v>0</v>
      </c>
      <c r="I59" s="18">
        <f t="shared" si="19"/>
        <v>0</v>
      </c>
      <c r="J59" s="18">
        <f t="shared" si="19"/>
        <v>0</v>
      </c>
      <c r="K59" s="18">
        <f t="shared" si="19"/>
        <v>0</v>
      </c>
      <c r="L59" s="18">
        <f t="shared" si="19"/>
        <v>0</v>
      </c>
      <c r="M59" s="18">
        <f t="shared" si="19"/>
        <v>0</v>
      </c>
      <c r="N59" s="18">
        <f t="shared" si="19"/>
        <v>0</v>
      </c>
      <c r="O59" s="18">
        <f t="shared" si="19"/>
        <v>0</v>
      </c>
      <c r="P59" s="7"/>
      <c r="Q59" s="18">
        <f>SUM(Q54:Q58)</f>
        <v>0</v>
      </c>
      <c r="R59" s="7"/>
      <c r="S59" s="7"/>
      <c r="T59" s="7"/>
      <c r="U59" s="7"/>
      <c r="V59" s="7"/>
      <c r="W59" s="7"/>
      <c r="X59" s="7"/>
    </row>
    <row r="60" ht="19.5" hidden="1" customHeight="1">
      <c r="A60" s="7"/>
      <c r="B60" s="44"/>
      <c r="C60" s="7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7"/>
      <c r="Q60" s="44"/>
      <c r="R60" s="7"/>
      <c r="S60" s="7"/>
      <c r="T60" s="7"/>
      <c r="U60" s="7"/>
      <c r="V60" s="7"/>
      <c r="W60" s="7"/>
      <c r="X60" s="7"/>
    </row>
    <row r="61" ht="19.5" customHeight="1">
      <c r="A61" s="7"/>
      <c r="B61" s="46" t="s">
        <v>58</v>
      </c>
      <c r="C61" s="25" t="s">
        <v>6</v>
      </c>
      <c r="D61" s="25" t="s">
        <v>7</v>
      </c>
      <c r="E61" s="25" t="s">
        <v>8</v>
      </c>
      <c r="F61" s="25" t="s">
        <v>9</v>
      </c>
      <c r="G61" s="25" t="s">
        <v>10</v>
      </c>
      <c r="H61" s="25" t="s">
        <v>11</v>
      </c>
      <c r="I61" s="25" t="s">
        <v>12</v>
      </c>
      <c r="J61" s="25" t="s">
        <v>13</v>
      </c>
      <c r="K61" s="25" t="s">
        <v>14</v>
      </c>
      <c r="L61" s="25" t="s">
        <v>15</v>
      </c>
      <c r="M61" s="25" t="s">
        <v>16</v>
      </c>
      <c r="N61" s="25" t="s">
        <v>17</v>
      </c>
      <c r="O61" s="25" t="s">
        <v>18</v>
      </c>
      <c r="P61" s="7"/>
      <c r="Q61" s="25" t="s">
        <v>19</v>
      </c>
      <c r="R61" s="7"/>
      <c r="S61" s="7"/>
      <c r="T61" s="7"/>
      <c r="U61" s="7"/>
      <c r="V61" s="7"/>
      <c r="W61" s="7"/>
      <c r="X61" s="7"/>
    </row>
    <row r="62" ht="19.5" customHeight="1">
      <c r="A62" s="7"/>
      <c r="B62" s="26" t="s">
        <v>59</v>
      </c>
      <c r="C62" s="27"/>
      <c r="D62" s="28">
        <v>1345.0</v>
      </c>
      <c r="E62" s="28">
        <v>1345.0</v>
      </c>
      <c r="F62" s="28">
        <v>1345.0</v>
      </c>
      <c r="G62" s="28">
        <v>1345.0</v>
      </c>
      <c r="H62" s="28">
        <v>1345.0</v>
      </c>
      <c r="I62" s="28">
        <v>1345.0</v>
      </c>
      <c r="J62" s="28">
        <v>1345.0</v>
      </c>
      <c r="K62" s="28">
        <v>1345.0</v>
      </c>
      <c r="L62" s="28">
        <v>1345.0</v>
      </c>
      <c r="M62" s="28">
        <v>1345.0</v>
      </c>
      <c r="N62" s="28">
        <v>1345.0</v>
      </c>
      <c r="O62" s="28">
        <v>1345.0</v>
      </c>
      <c r="P62" s="7"/>
      <c r="Q62" s="29">
        <f t="shared" ref="Q62:Q66" si="20">SUM(D62:O62)</f>
        <v>16140</v>
      </c>
      <c r="R62" s="7"/>
      <c r="S62" s="7"/>
      <c r="T62" s="7"/>
      <c r="U62" s="7"/>
      <c r="V62" s="7"/>
      <c r="W62" s="7"/>
      <c r="X62" s="7"/>
    </row>
    <row r="63" ht="19.5" customHeight="1">
      <c r="A63" s="7"/>
      <c r="B63" s="26" t="s">
        <v>60</v>
      </c>
      <c r="C63" s="27"/>
      <c r="D63" s="28">
        <v>435.0</v>
      </c>
      <c r="E63" s="28">
        <v>435.0</v>
      </c>
      <c r="F63" s="28">
        <v>435.0</v>
      </c>
      <c r="G63" s="28">
        <v>435.0</v>
      </c>
      <c r="H63" s="28">
        <v>435.0</v>
      </c>
      <c r="I63" s="28">
        <v>435.0</v>
      </c>
      <c r="J63" s="28">
        <v>435.0</v>
      </c>
      <c r="K63" s="28">
        <v>435.0</v>
      </c>
      <c r="L63" s="28">
        <v>435.0</v>
      </c>
      <c r="M63" s="28">
        <v>435.0</v>
      </c>
      <c r="N63" s="28">
        <v>435.0</v>
      </c>
      <c r="O63" s="28">
        <v>435.0</v>
      </c>
      <c r="P63" s="7"/>
      <c r="Q63" s="29">
        <f t="shared" si="20"/>
        <v>5220</v>
      </c>
      <c r="R63" s="7"/>
      <c r="S63" s="7"/>
      <c r="T63" s="7"/>
      <c r="U63" s="7"/>
      <c r="V63" s="7"/>
      <c r="W63" s="7"/>
      <c r="X63" s="7"/>
    </row>
    <row r="64" ht="19.5" customHeight="1">
      <c r="A64" s="7"/>
      <c r="B64" s="26" t="s">
        <v>61</v>
      </c>
      <c r="C64" s="27"/>
      <c r="D64" s="28">
        <v>400.0</v>
      </c>
      <c r="E64" s="28">
        <v>400.0</v>
      </c>
      <c r="F64" s="28">
        <v>400.0</v>
      </c>
      <c r="G64" s="28">
        <v>400.0</v>
      </c>
      <c r="H64" s="28">
        <v>400.0</v>
      </c>
      <c r="I64" s="28">
        <v>400.0</v>
      </c>
      <c r="J64" s="28">
        <v>400.0</v>
      </c>
      <c r="K64" s="28">
        <v>400.0</v>
      </c>
      <c r="L64" s="28">
        <v>400.0</v>
      </c>
      <c r="M64" s="28">
        <v>400.0</v>
      </c>
      <c r="N64" s="28">
        <v>400.0</v>
      </c>
      <c r="O64" s="28">
        <v>400.0</v>
      </c>
      <c r="P64" s="7"/>
      <c r="Q64" s="29">
        <f t="shared" si="20"/>
        <v>4800</v>
      </c>
      <c r="R64" s="7"/>
      <c r="S64" s="7"/>
      <c r="T64" s="7"/>
      <c r="U64" s="7"/>
      <c r="V64" s="7"/>
      <c r="W64" s="7"/>
      <c r="X64" s="7"/>
    </row>
    <row r="65" ht="19.5" customHeight="1">
      <c r="A65" s="7"/>
      <c r="B65" s="26" t="s">
        <v>62</v>
      </c>
      <c r="C65" s="27"/>
      <c r="D65" s="28">
        <v>200.0</v>
      </c>
      <c r="E65" s="28">
        <v>200.0</v>
      </c>
      <c r="F65" s="28">
        <v>200.0</v>
      </c>
      <c r="G65" s="28">
        <v>200.0</v>
      </c>
      <c r="H65" s="28">
        <v>200.0</v>
      </c>
      <c r="I65" s="28">
        <v>200.0</v>
      </c>
      <c r="J65" s="28">
        <v>200.0</v>
      </c>
      <c r="K65" s="28">
        <v>200.0</v>
      </c>
      <c r="L65" s="28">
        <v>200.0</v>
      </c>
      <c r="M65" s="28">
        <v>200.0</v>
      </c>
      <c r="N65" s="28">
        <v>200.0</v>
      </c>
      <c r="O65" s="28">
        <v>0.0</v>
      </c>
      <c r="P65" s="7"/>
      <c r="Q65" s="29">
        <f t="shared" si="20"/>
        <v>2200</v>
      </c>
      <c r="R65" s="7"/>
      <c r="S65" s="7"/>
      <c r="T65" s="7"/>
      <c r="U65" s="7"/>
      <c r="V65" s="7"/>
      <c r="W65" s="7"/>
      <c r="X65" s="7"/>
    </row>
    <row r="66" ht="19.5" customHeight="1">
      <c r="A66" s="7"/>
      <c r="B66" s="31" t="s">
        <v>29</v>
      </c>
      <c r="C66" s="27"/>
      <c r="D66" s="28">
        <v>0.0</v>
      </c>
      <c r="E66" s="28">
        <v>0.0</v>
      </c>
      <c r="F66" s="29">
        <v>0.0</v>
      </c>
      <c r="G66" s="29">
        <v>0.0</v>
      </c>
      <c r="H66" s="29">
        <v>0.0</v>
      </c>
      <c r="I66" s="29">
        <v>0.0</v>
      </c>
      <c r="J66" s="29">
        <v>0.0</v>
      </c>
      <c r="K66" s="29">
        <v>0.0</v>
      </c>
      <c r="L66" s="29">
        <v>0.0</v>
      </c>
      <c r="M66" s="29">
        <v>0.0</v>
      </c>
      <c r="N66" s="29">
        <v>0.0</v>
      </c>
      <c r="O66" s="29">
        <v>0.0</v>
      </c>
      <c r="P66" s="7"/>
      <c r="Q66" s="29">
        <f t="shared" si="20"/>
        <v>0</v>
      </c>
      <c r="R66" s="7"/>
      <c r="S66" s="7"/>
      <c r="T66" s="7"/>
      <c r="U66" s="7"/>
      <c r="V66" s="7"/>
      <c r="W66" s="7"/>
      <c r="X66" s="7"/>
    </row>
    <row r="67" ht="19.5" customHeight="1">
      <c r="A67" s="7"/>
      <c r="B67" s="16" t="s">
        <v>63</v>
      </c>
      <c r="C67" s="17"/>
      <c r="D67" s="18">
        <f t="shared" ref="D67:O67" si="21">SUM(D62:D66)</f>
        <v>2380</v>
      </c>
      <c r="E67" s="18">
        <f t="shared" si="21"/>
        <v>2380</v>
      </c>
      <c r="F67" s="18">
        <f t="shared" si="21"/>
        <v>2380</v>
      </c>
      <c r="G67" s="18">
        <f t="shared" si="21"/>
        <v>2380</v>
      </c>
      <c r="H67" s="18">
        <f t="shared" si="21"/>
        <v>2380</v>
      </c>
      <c r="I67" s="18">
        <f t="shared" si="21"/>
        <v>2380</v>
      </c>
      <c r="J67" s="18">
        <f t="shared" si="21"/>
        <v>2380</v>
      </c>
      <c r="K67" s="18">
        <f t="shared" si="21"/>
        <v>2380</v>
      </c>
      <c r="L67" s="18">
        <f t="shared" si="21"/>
        <v>2380</v>
      </c>
      <c r="M67" s="18">
        <f t="shared" si="21"/>
        <v>2380</v>
      </c>
      <c r="N67" s="18">
        <f t="shared" si="21"/>
        <v>2380</v>
      </c>
      <c r="O67" s="18">
        <f t="shared" si="21"/>
        <v>2180</v>
      </c>
      <c r="P67" s="7"/>
      <c r="Q67" s="18">
        <f>SUM(Q62:Q66)</f>
        <v>28360</v>
      </c>
      <c r="R67" s="7"/>
      <c r="S67" s="7"/>
      <c r="T67" s="7"/>
      <c r="U67" s="7"/>
      <c r="V67" s="7"/>
      <c r="W67" s="7"/>
      <c r="X67" s="7"/>
    </row>
    <row r="68" ht="19.5" customHeight="1">
      <c r="A68" s="7"/>
      <c r="B68" s="47"/>
      <c r="C68" s="48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7"/>
      <c r="Q68" s="44"/>
      <c r="R68" s="7"/>
      <c r="S68" s="7"/>
      <c r="T68" s="7"/>
      <c r="U68" s="7"/>
      <c r="V68" s="7"/>
      <c r="W68" s="7"/>
      <c r="X68" s="7"/>
    </row>
    <row r="69" ht="19.5" customHeight="1">
      <c r="A69" s="7"/>
      <c r="B69" s="45" t="s">
        <v>64</v>
      </c>
      <c r="C69" s="25" t="s">
        <v>6</v>
      </c>
      <c r="D69" s="25" t="s">
        <v>7</v>
      </c>
      <c r="E69" s="25" t="s">
        <v>8</v>
      </c>
      <c r="F69" s="25" t="s">
        <v>9</v>
      </c>
      <c r="G69" s="25" t="s">
        <v>10</v>
      </c>
      <c r="H69" s="25" t="s">
        <v>11</v>
      </c>
      <c r="I69" s="25" t="s">
        <v>12</v>
      </c>
      <c r="J69" s="25" t="s">
        <v>13</v>
      </c>
      <c r="K69" s="25" t="s">
        <v>14</v>
      </c>
      <c r="L69" s="25" t="s">
        <v>15</v>
      </c>
      <c r="M69" s="25" t="s">
        <v>16</v>
      </c>
      <c r="N69" s="25" t="s">
        <v>17</v>
      </c>
      <c r="O69" s="25" t="s">
        <v>18</v>
      </c>
      <c r="P69" s="7"/>
      <c r="Q69" s="25" t="s">
        <v>19</v>
      </c>
      <c r="R69" s="7"/>
      <c r="S69" s="7"/>
      <c r="T69" s="7"/>
      <c r="U69" s="7"/>
      <c r="V69" s="7"/>
      <c r="W69" s="7"/>
      <c r="X69" s="7"/>
    </row>
    <row r="70" ht="19.5" customHeight="1">
      <c r="A70" s="7"/>
      <c r="B70" s="31" t="s">
        <v>65</v>
      </c>
      <c r="C70" s="27"/>
      <c r="D70" s="28">
        <v>375.0</v>
      </c>
      <c r="E70" s="28">
        <v>375.0</v>
      </c>
      <c r="F70" s="28">
        <v>375.0</v>
      </c>
      <c r="G70" s="28">
        <v>750.0</v>
      </c>
      <c r="H70" s="28">
        <v>750.0</v>
      </c>
      <c r="I70" s="28">
        <v>750.0</v>
      </c>
      <c r="J70" s="28">
        <v>750.0</v>
      </c>
      <c r="K70" s="28">
        <v>750.0</v>
      </c>
      <c r="L70" s="28">
        <v>750.0</v>
      </c>
      <c r="M70" s="28">
        <v>750.0</v>
      </c>
      <c r="N70" s="28">
        <v>750.0</v>
      </c>
      <c r="O70" s="28">
        <v>750.0</v>
      </c>
      <c r="P70" s="7"/>
      <c r="Q70" s="29">
        <f t="shared" ref="Q70:Q80" si="22">SUM(D70:O70)</f>
        <v>7875</v>
      </c>
      <c r="R70" s="7"/>
      <c r="S70" s="7"/>
      <c r="T70" s="7"/>
      <c r="U70" s="7"/>
      <c r="V70" s="7"/>
      <c r="W70" s="7"/>
      <c r="X70" s="7"/>
    </row>
    <row r="71" ht="19.5" customHeight="1">
      <c r="A71" s="7"/>
      <c r="B71" s="26" t="s">
        <v>66</v>
      </c>
      <c r="C71" s="27"/>
      <c r="D71" s="28">
        <v>20.0</v>
      </c>
      <c r="E71" s="28">
        <v>20.0</v>
      </c>
      <c r="F71" s="28">
        <v>20.0</v>
      </c>
      <c r="G71" s="28">
        <v>20.0</v>
      </c>
      <c r="H71" s="28">
        <v>20.0</v>
      </c>
      <c r="I71" s="28">
        <v>20.0</v>
      </c>
      <c r="J71" s="28">
        <v>20.0</v>
      </c>
      <c r="K71" s="28">
        <v>20.0</v>
      </c>
      <c r="L71" s="28">
        <v>20.0</v>
      </c>
      <c r="M71" s="28">
        <v>20.0</v>
      </c>
      <c r="N71" s="28">
        <v>20.0</v>
      </c>
      <c r="O71" s="28">
        <v>20.0</v>
      </c>
      <c r="P71" s="7"/>
      <c r="Q71" s="29">
        <f t="shared" si="22"/>
        <v>240</v>
      </c>
      <c r="R71" s="7"/>
      <c r="S71" s="7"/>
      <c r="T71" s="7"/>
      <c r="U71" s="7"/>
      <c r="V71" s="7"/>
      <c r="W71" s="7"/>
      <c r="X71" s="7"/>
    </row>
    <row r="72" ht="19.5" customHeight="1">
      <c r="A72" s="7"/>
      <c r="B72" s="26" t="s">
        <v>67</v>
      </c>
      <c r="C72" s="27"/>
      <c r="D72" s="28">
        <v>12.5</v>
      </c>
      <c r="E72" s="28">
        <v>12.5</v>
      </c>
      <c r="F72" s="28">
        <v>12.5</v>
      </c>
      <c r="G72" s="28">
        <v>12.5</v>
      </c>
      <c r="H72" s="28">
        <v>12.5</v>
      </c>
      <c r="I72" s="28">
        <v>12.5</v>
      </c>
      <c r="J72" s="28">
        <v>12.5</v>
      </c>
      <c r="K72" s="28">
        <v>12.5</v>
      </c>
      <c r="L72" s="28">
        <v>12.5</v>
      </c>
      <c r="M72" s="28">
        <v>12.5</v>
      </c>
      <c r="N72" s="28">
        <v>12.5</v>
      </c>
      <c r="O72" s="28">
        <v>12.5</v>
      </c>
      <c r="P72" s="7"/>
      <c r="Q72" s="29">
        <f t="shared" si="22"/>
        <v>150</v>
      </c>
      <c r="R72" s="7"/>
      <c r="S72" s="7"/>
      <c r="T72" s="7"/>
      <c r="U72" s="7"/>
      <c r="V72" s="7"/>
      <c r="W72" s="7"/>
      <c r="X72" s="7"/>
    </row>
    <row r="73" ht="19.5" customHeight="1">
      <c r="A73" s="7"/>
      <c r="B73" s="31" t="s">
        <v>68</v>
      </c>
      <c r="C73" s="27"/>
      <c r="D73" s="28">
        <v>100.0</v>
      </c>
      <c r="E73" s="28">
        <v>100.0</v>
      </c>
      <c r="F73" s="28">
        <v>100.0</v>
      </c>
      <c r="G73" s="28">
        <v>100.0</v>
      </c>
      <c r="H73" s="28">
        <v>100.0</v>
      </c>
      <c r="I73" s="28">
        <v>100.0</v>
      </c>
      <c r="J73" s="28">
        <v>100.0</v>
      </c>
      <c r="K73" s="28">
        <v>100.0</v>
      </c>
      <c r="L73" s="28">
        <v>100.0</v>
      </c>
      <c r="M73" s="28">
        <v>100.0</v>
      </c>
      <c r="N73" s="28">
        <v>100.0</v>
      </c>
      <c r="O73" s="28">
        <v>100.0</v>
      </c>
      <c r="P73" s="7"/>
      <c r="Q73" s="29">
        <f t="shared" si="22"/>
        <v>1200</v>
      </c>
      <c r="R73" s="7"/>
      <c r="S73" s="7"/>
      <c r="T73" s="7"/>
      <c r="U73" s="7"/>
      <c r="V73" s="7"/>
      <c r="W73" s="7"/>
      <c r="X73" s="7"/>
    </row>
    <row r="74" ht="19.5" customHeight="1">
      <c r="A74" s="7"/>
      <c r="B74" s="31" t="s">
        <v>69</v>
      </c>
      <c r="C74" s="27"/>
      <c r="D74" s="28">
        <v>80.0</v>
      </c>
      <c r="E74" s="28">
        <v>80.0</v>
      </c>
      <c r="F74" s="28">
        <v>80.0</v>
      </c>
      <c r="G74" s="28">
        <v>80.0</v>
      </c>
      <c r="H74" s="28">
        <v>80.0</v>
      </c>
      <c r="I74" s="28">
        <v>80.0</v>
      </c>
      <c r="J74" s="28">
        <v>80.0</v>
      </c>
      <c r="K74" s="28">
        <v>80.0</v>
      </c>
      <c r="L74" s="28">
        <v>80.0</v>
      </c>
      <c r="M74" s="28">
        <v>80.0</v>
      </c>
      <c r="N74" s="28">
        <v>80.0</v>
      </c>
      <c r="O74" s="28">
        <v>80.0</v>
      </c>
      <c r="P74" s="7"/>
      <c r="Q74" s="29">
        <f t="shared" si="22"/>
        <v>960</v>
      </c>
      <c r="R74" s="7"/>
      <c r="S74" s="7"/>
      <c r="T74" s="7"/>
      <c r="U74" s="7"/>
      <c r="V74" s="7"/>
      <c r="W74" s="7"/>
      <c r="X74" s="7"/>
    </row>
    <row r="75" ht="19.5" customHeight="1">
      <c r="A75" s="7"/>
      <c r="B75" s="31" t="s">
        <v>70</v>
      </c>
      <c r="C75" s="27"/>
      <c r="D75" s="28">
        <v>50.0</v>
      </c>
      <c r="E75" s="28">
        <v>50.0</v>
      </c>
      <c r="F75" s="28">
        <v>50.0</v>
      </c>
      <c r="G75" s="28">
        <v>50.0</v>
      </c>
      <c r="H75" s="28">
        <v>50.0</v>
      </c>
      <c r="I75" s="28">
        <v>50.0</v>
      </c>
      <c r="J75" s="28">
        <v>50.0</v>
      </c>
      <c r="K75" s="28">
        <v>50.0</v>
      </c>
      <c r="L75" s="28">
        <v>50.0</v>
      </c>
      <c r="M75" s="28">
        <v>50.0</v>
      </c>
      <c r="N75" s="28">
        <v>50.0</v>
      </c>
      <c r="O75" s="28">
        <v>50.0</v>
      </c>
      <c r="P75" s="7"/>
      <c r="Q75" s="29">
        <f t="shared" si="22"/>
        <v>600</v>
      </c>
      <c r="R75" s="7"/>
      <c r="S75" s="7"/>
      <c r="T75" s="7"/>
      <c r="U75" s="7"/>
      <c r="V75" s="7"/>
      <c r="W75" s="7"/>
      <c r="X75" s="7"/>
    </row>
    <row r="76" ht="19.5" customHeight="1">
      <c r="A76" s="7"/>
      <c r="B76" s="31" t="s">
        <v>71</v>
      </c>
      <c r="C76" s="27"/>
      <c r="D76" s="28">
        <v>20.0</v>
      </c>
      <c r="E76" s="28">
        <v>20.0</v>
      </c>
      <c r="F76" s="28">
        <v>20.0</v>
      </c>
      <c r="G76" s="28">
        <v>20.0</v>
      </c>
      <c r="H76" s="28">
        <v>20.0</v>
      </c>
      <c r="I76" s="28">
        <v>20.0</v>
      </c>
      <c r="J76" s="28">
        <v>20.0</v>
      </c>
      <c r="K76" s="28">
        <v>20.0</v>
      </c>
      <c r="L76" s="28">
        <v>20.0</v>
      </c>
      <c r="M76" s="28">
        <v>20.0</v>
      </c>
      <c r="N76" s="28">
        <v>20.0</v>
      </c>
      <c r="O76" s="28">
        <v>20.0</v>
      </c>
      <c r="P76" s="7"/>
      <c r="Q76" s="29">
        <f t="shared" si="22"/>
        <v>240</v>
      </c>
      <c r="R76" s="7"/>
      <c r="S76" s="7"/>
      <c r="T76" s="7"/>
      <c r="U76" s="7"/>
      <c r="V76" s="7"/>
      <c r="W76" s="7"/>
      <c r="X76" s="7"/>
    </row>
    <row r="77" ht="19.5" customHeight="1">
      <c r="A77" s="7"/>
      <c r="B77" s="31" t="s">
        <v>72</v>
      </c>
      <c r="C77" s="27"/>
      <c r="D77" s="29">
        <v>0.0</v>
      </c>
      <c r="E77" s="29">
        <v>0.0</v>
      </c>
      <c r="F77" s="29">
        <v>0.0</v>
      </c>
      <c r="G77" s="28">
        <v>250.0</v>
      </c>
      <c r="H77" s="29">
        <v>0.0</v>
      </c>
      <c r="I77" s="29">
        <v>0.0</v>
      </c>
      <c r="J77" s="29">
        <v>0.0</v>
      </c>
      <c r="K77" s="28">
        <v>250.0</v>
      </c>
      <c r="L77" s="29">
        <v>0.0</v>
      </c>
      <c r="M77" s="29">
        <v>0.0</v>
      </c>
      <c r="N77" s="28">
        <v>250.0</v>
      </c>
      <c r="O77" s="28">
        <v>250.0</v>
      </c>
      <c r="P77" s="7"/>
      <c r="Q77" s="29">
        <f t="shared" si="22"/>
        <v>1000</v>
      </c>
      <c r="R77" s="7"/>
      <c r="S77" s="7"/>
      <c r="T77" s="7"/>
      <c r="U77" s="7"/>
      <c r="V77" s="7"/>
      <c r="W77" s="7"/>
      <c r="X77" s="7"/>
    </row>
    <row r="78" ht="19.5" customHeight="1">
      <c r="A78" s="7"/>
      <c r="B78" s="26" t="s">
        <v>73</v>
      </c>
      <c r="C78" s="27"/>
      <c r="D78" s="28">
        <v>500.0</v>
      </c>
      <c r="E78" s="28">
        <v>500.0</v>
      </c>
      <c r="F78" s="28">
        <v>500.0</v>
      </c>
      <c r="G78" s="28">
        <v>500.0</v>
      </c>
      <c r="H78" s="28">
        <v>500.0</v>
      </c>
      <c r="I78" s="28">
        <v>500.0</v>
      </c>
      <c r="J78" s="28">
        <v>500.0</v>
      </c>
      <c r="K78" s="28">
        <v>500.0</v>
      </c>
      <c r="L78" s="28">
        <v>500.0</v>
      </c>
      <c r="M78" s="28">
        <v>500.0</v>
      </c>
      <c r="N78" s="28">
        <v>500.0</v>
      </c>
      <c r="O78" s="28">
        <v>500.0</v>
      </c>
      <c r="P78" s="7"/>
      <c r="Q78" s="29">
        <f t="shared" si="22"/>
        <v>6000</v>
      </c>
      <c r="R78" s="7"/>
      <c r="S78" s="7"/>
      <c r="T78" s="7"/>
      <c r="U78" s="7"/>
      <c r="V78" s="7"/>
      <c r="W78" s="7"/>
      <c r="X78" s="7"/>
    </row>
    <row r="79" ht="19.5" customHeight="1">
      <c r="A79" s="7"/>
      <c r="B79" s="26" t="s">
        <v>74</v>
      </c>
      <c r="C79" s="27"/>
      <c r="D79" s="28">
        <v>100.0</v>
      </c>
      <c r="E79" s="28">
        <v>100.0</v>
      </c>
      <c r="F79" s="28">
        <v>100.0</v>
      </c>
      <c r="G79" s="28">
        <v>100.0</v>
      </c>
      <c r="H79" s="28">
        <v>100.0</v>
      </c>
      <c r="I79" s="28">
        <v>100.0</v>
      </c>
      <c r="J79" s="28">
        <v>100.0</v>
      </c>
      <c r="K79" s="28">
        <v>100.0</v>
      </c>
      <c r="L79" s="28">
        <v>100.0</v>
      </c>
      <c r="M79" s="28">
        <v>100.0</v>
      </c>
      <c r="N79" s="28">
        <v>100.0</v>
      </c>
      <c r="O79" s="28">
        <v>100.0</v>
      </c>
      <c r="P79" s="7"/>
      <c r="Q79" s="29">
        <f t="shared" si="22"/>
        <v>1200</v>
      </c>
      <c r="R79" s="7"/>
      <c r="S79" s="7"/>
      <c r="T79" s="7"/>
      <c r="U79" s="7"/>
      <c r="V79" s="7"/>
      <c r="W79" s="7"/>
      <c r="X79" s="7"/>
    </row>
    <row r="80" ht="19.5" customHeight="1">
      <c r="A80" s="7"/>
      <c r="B80" s="31" t="s">
        <v>29</v>
      </c>
      <c r="C80" s="27"/>
      <c r="D80" s="29">
        <v>0.0</v>
      </c>
      <c r="E80" s="29">
        <v>0.0</v>
      </c>
      <c r="F80" s="29">
        <v>0.0</v>
      </c>
      <c r="G80" s="29">
        <v>0.0</v>
      </c>
      <c r="H80" s="29">
        <v>0.0</v>
      </c>
      <c r="I80" s="29">
        <v>0.0</v>
      </c>
      <c r="J80" s="29">
        <v>0.0</v>
      </c>
      <c r="K80" s="29">
        <v>0.0</v>
      </c>
      <c r="L80" s="29">
        <v>0.0</v>
      </c>
      <c r="M80" s="29">
        <v>0.0</v>
      </c>
      <c r="N80" s="29">
        <v>0.0</v>
      </c>
      <c r="O80" s="29">
        <v>0.0</v>
      </c>
      <c r="P80" s="7"/>
      <c r="Q80" s="29">
        <f t="shared" si="22"/>
        <v>0</v>
      </c>
      <c r="R80" s="7"/>
      <c r="S80" s="7"/>
      <c r="T80" s="7"/>
      <c r="U80" s="7"/>
      <c r="V80" s="7"/>
      <c r="W80" s="7"/>
      <c r="X80" s="7"/>
    </row>
    <row r="81" ht="19.5" customHeight="1">
      <c r="A81" s="7"/>
      <c r="B81" s="16" t="s">
        <v>75</v>
      </c>
      <c r="C81" s="17"/>
      <c r="D81" s="18">
        <f t="shared" ref="D81:O81" si="23">SUM(D70:D80)</f>
        <v>1257.5</v>
      </c>
      <c r="E81" s="18">
        <f t="shared" si="23"/>
        <v>1257.5</v>
      </c>
      <c r="F81" s="18">
        <f t="shared" si="23"/>
        <v>1257.5</v>
      </c>
      <c r="G81" s="18">
        <f t="shared" si="23"/>
        <v>1882.5</v>
      </c>
      <c r="H81" s="18">
        <f t="shared" si="23"/>
        <v>1632.5</v>
      </c>
      <c r="I81" s="18">
        <f t="shared" si="23"/>
        <v>1632.5</v>
      </c>
      <c r="J81" s="18">
        <f t="shared" si="23"/>
        <v>1632.5</v>
      </c>
      <c r="K81" s="18">
        <f t="shared" si="23"/>
        <v>1882.5</v>
      </c>
      <c r="L81" s="18">
        <f t="shared" si="23"/>
        <v>1632.5</v>
      </c>
      <c r="M81" s="18">
        <f t="shared" si="23"/>
        <v>1632.5</v>
      </c>
      <c r="N81" s="18">
        <f t="shared" si="23"/>
        <v>1882.5</v>
      </c>
      <c r="O81" s="18">
        <f t="shared" si="23"/>
        <v>1882.5</v>
      </c>
      <c r="P81" s="7"/>
      <c r="Q81" s="18">
        <f>SUM(Q70:Q80)</f>
        <v>19465</v>
      </c>
      <c r="R81" s="7"/>
      <c r="S81" s="7"/>
      <c r="T81" s="7"/>
      <c r="U81" s="7"/>
      <c r="V81" s="7"/>
      <c r="W81" s="7"/>
      <c r="X81" s="7"/>
    </row>
    <row r="82" ht="19.5" customHeight="1">
      <c r="A82" s="7"/>
      <c r="B82" s="44"/>
      <c r="C82" s="7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7"/>
      <c r="Q82" s="44"/>
      <c r="R82" s="7"/>
      <c r="S82" s="7"/>
      <c r="T82" s="7"/>
      <c r="U82" s="7"/>
      <c r="V82" s="7"/>
      <c r="W82" s="7"/>
      <c r="X82" s="7"/>
    </row>
    <row r="83" ht="19.5" customHeight="1">
      <c r="A83" s="7"/>
      <c r="B83" s="45" t="s">
        <v>76</v>
      </c>
      <c r="C83" s="25" t="s">
        <v>6</v>
      </c>
      <c r="D83" s="25" t="s">
        <v>7</v>
      </c>
      <c r="E83" s="25" t="s">
        <v>8</v>
      </c>
      <c r="F83" s="25" t="s">
        <v>9</v>
      </c>
      <c r="G83" s="25" t="s">
        <v>10</v>
      </c>
      <c r="H83" s="25" t="s">
        <v>11</v>
      </c>
      <c r="I83" s="25" t="s">
        <v>12</v>
      </c>
      <c r="J83" s="25" t="s">
        <v>13</v>
      </c>
      <c r="K83" s="25" t="s">
        <v>14</v>
      </c>
      <c r="L83" s="25" t="s">
        <v>15</v>
      </c>
      <c r="M83" s="25" t="s">
        <v>16</v>
      </c>
      <c r="N83" s="25" t="s">
        <v>17</v>
      </c>
      <c r="O83" s="25" t="s">
        <v>18</v>
      </c>
      <c r="P83" s="7"/>
      <c r="Q83" s="25" t="s">
        <v>19</v>
      </c>
      <c r="R83" s="7"/>
      <c r="S83" s="7"/>
      <c r="T83" s="7"/>
      <c r="U83" s="7"/>
      <c r="V83" s="7"/>
      <c r="W83" s="7"/>
      <c r="X83" s="7"/>
    </row>
    <row r="84" ht="19.5" customHeight="1">
      <c r="A84" s="7"/>
      <c r="B84" s="31" t="s">
        <v>77</v>
      </c>
      <c r="C84" s="27"/>
      <c r="D84" s="28">
        <v>100.0</v>
      </c>
      <c r="E84" s="28">
        <v>100.0</v>
      </c>
      <c r="F84" s="28">
        <v>100.0</v>
      </c>
      <c r="G84" s="28">
        <v>100.0</v>
      </c>
      <c r="H84" s="28">
        <v>100.0</v>
      </c>
      <c r="I84" s="28">
        <v>100.0</v>
      </c>
      <c r="J84" s="28">
        <v>100.0</v>
      </c>
      <c r="K84" s="28">
        <v>100.0</v>
      </c>
      <c r="L84" s="28">
        <v>100.0</v>
      </c>
      <c r="M84" s="28">
        <v>100.0</v>
      </c>
      <c r="N84" s="28">
        <v>100.0</v>
      </c>
      <c r="O84" s="28">
        <v>100.0</v>
      </c>
      <c r="P84" s="7"/>
      <c r="Q84" s="29">
        <f t="shared" ref="Q84:Q88" si="24">SUM(D84:O84)</f>
        <v>1200</v>
      </c>
      <c r="R84" s="7"/>
      <c r="S84" s="7"/>
      <c r="T84" s="7"/>
      <c r="U84" s="7"/>
      <c r="V84" s="7"/>
      <c r="W84" s="7"/>
      <c r="X84" s="7"/>
    </row>
    <row r="85" ht="19.5" customHeight="1">
      <c r="A85" s="7"/>
      <c r="B85" s="31" t="s">
        <v>78</v>
      </c>
      <c r="C85" s="27"/>
      <c r="D85" s="28">
        <v>50.0</v>
      </c>
      <c r="E85" s="28">
        <v>50.0</v>
      </c>
      <c r="F85" s="28">
        <v>50.0</v>
      </c>
      <c r="G85" s="28">
        <v>50.0</v>
      </c>
      <c r="H85" s="28">
        <v>50.0</v>
      </c>
      <c r="I85" s="28">
        <v>50.0</v>
      </c>
      <c r="J85" s="28">
        <v>50.0</v>
      </c>
      <c r="K85" s="28">
        <v>50.0</v>
      </c>
      <c r="L85" s="28">
        <v>50.0</v>
      </c>
      <c r="M85" s="28">
        <v>50.0</v>
      </c>
      <c r="N85" s="28">
        <v>50.0</v>
      </c>
      <c r="O85" s="28">
        <v>50.0</v>
      </c>
      <c r="P85" s="7"/>
      <c r="Q85" s="29">
        <f t="shared" si="24"/>
        <v>600</v>
      </c>
      <c r="R85" s="7"/>
      <c r="S85" s="7"/>
      <c r="T85" s="7"/>
      <c r="U85" s="7"/>
      <c r="V85" s="7"/>
      <c r="W85" s="7"/>
      <c r="X85" s="7"/>
    </row>
    <row r="86" ht="19.5" customHeight="1">
      <c r="A86" s="7"/>
      <c r="B86" s="31" t="s">
        <v>79</v>
      </c>
      <c r="C86" s="27"/>
      <c r="D86" s="28">
        <v>30.0</v>
      </c>
      <c r="E86" s="29">
        <v>0.0</v>
      </c>
      <c r="F86" s="29">
        <v>0.0</v>
      </c>
      <c r="G86" s="29">
        <v>0.0</v>
      </c>
      <c r="H86" s="29">
        <v>0.0</v>
      </c>
      <c r="I86" s="29">
        <v>0.0</v>
      </c>
      <c r="J86" s="29">
        <v>0.0</v>
      </c>
      <c r="K86" s="29">
        <v>0.0</v>
      </c>
      <c r="L86" s="29">
        <v>0.0</v>
      </c>
      <c r="M86" s="29">
        <v>0.0</v>
      </c>
      <c r="N86" s="29">
        <v>0.0</v>
      </c>
      <c r="O86" s="28">
        <v>50.0</v>
      </c>
      <c r="P86" s="7"/>
      <c r="Q86" s="29">
        <f t="shared" si="24"/>
        <v>80</v>
      </c>
      <c r="R86" s="7"/>
      <c r="S86" s="7"/>
      <c r="T86" s="7"/>
      <c r="U86" s="7"/>
      <c r="V86" s="7"/>
      <c r="W86" s="7"/>
      <c r="X86" s="7"/>
    </row>
    <row r="87" ht="19.5" customHeight="1">
      <c r="A87" s="7"/>
      <c r="B87" s="31" t="s">
        <v>80</v>
      </c>
      <c r="C87" s="27"/>
      <c r="D87" s="28">
        <v>50.0</v>
      </c>
      <c r="E87" s="28">
        <v>50.0</v>
      </c>
      <c r="F87" s="28">
        <v>50.0</v>
      </c>
      <c r="G87" s="28">
        <v>50.0</v>
      </c>
      <c r="H87" s="28">
        <v>50.0</v>
      </c>
      <c r="I87" s="28">
        <v>50.0</v>
      </c>
      <c r="J87" s="28">
        <v>50.0</v>
      </c>
      <c r="K87" s="28">
        <v>50.0</v>
      </c>
      <c r="L87" s="28">
        <v>50.0</v>
      </c>
      <c r="M87" s="28">
        <v>50.0</v>
      </c>
      <c r="N87" s="28">
        <v>50.0</v>
      </c>
      <c r="O87" s="28">
        <v>50.0</v>
      </c>
      <c r="P87" s="7"/>
      <c r="Q87" s="29">
        <f t="shared" si="24"/>
        <v>600</v>
      </c>
      <c r="R87" s="7"/>
      <c r="S87" s="7"/>
      <c r="T87" s="7"/>
      <c r="U87" s="7"/>
      <c r="V87" s="7"/>
      <c r="W87" s="7"/>
      <c r="X87" s="7"/>
    </row>
    <row r="88" ht="19.5" customHeight="1">
      <c r="A88" s="7"/>
      <c r="B88" s="31" t="s">
        <v>29</v>
      </c>
      <c r="C88" s="27"/>
      <c r="D88" s="28"/>
      <c r="E88" s="29">
        <v>0.0</v>
      </c>
      <c r="F88" s="29">
        <v>0.0</v>
      </c>
      <c r="G88" s="29">
        <v>0.0</v>
      </c>
      <c r="H88" s="29">
        <v>0.0</v>
      </c>
      <c r="I88" s="29">
        <v>0.0</v>
      </c>
      <c r="J88" s="29">
        <v>0.0</v>
      </c>
      <c r="K88" s="29">
        <v>0.0</v>
      </c>
      <c r="L88" s="29">
        <v>0.0</v>
      </c>
      <c r="M88" s="29">
        <v>0.0</v>
      </c>
      <c r="N88" s="29">
        <v>0.0</v>
      </c>
      <c r="O88" s="29">
        <v>0.0</v>
      </c>
      <c r="P88" s="7"/>
      <c r="Q88" s="29">
        <f t="shared" si="24"/>
        <v>0</v>
      </c>
      <c r="R88" s="7"/>
      <c r="S88" s="7"/>
      <c r="T88" s="7"/>
      <c r="U88" s="7"/>
      <c r="V88" s="7"/>
      <c r="W88" s="7"/>
      <c r="X88" s="7"/>
    </row>
    <row r="89" ht="19.5" customHeight="1">
      <c r="A89" s="7"/>
      <c r="B89" s="16" t="s">
        <v>81</v>
      </c>
      <c r="C89" s="17"/>
      <c r="D89" s="18">
        <f t="shared" ref="D89:O89" si="25">SUM(D84:D88)</f>
        <v>230</v>
      </c>
      <c r="E89" s="18">
        <f t="shared" si="25"/>
        <v>200</v>
      </c>
      <c r="F89" s="18">
        <f t="shared" si="25"/>
        <v>200</v>
      </c>
      <c r="G89" s="18">
        <f t="shared" si="25"/>
        <v>200</v>
      </c>
      <c r="H89" s="18">
        <f t="shared" si="25"/>
        <v>200</v>
      </c>
      <c r="I89" s="18">
        <f t="shared" si="25"/>
        <v>200</v>
      </c>
      <c r="J89" s="18">
        <f t="shared" si="25"/>
        <v>200</v>
      </c>
      <c r="K89" s="18">
        <f t="shared" si="25"/>
        <v>200</v>
      </c>
      <c r="L89" s="18">
        <f t="shared" si="25"/>
        <v>200</v>
      </c>
      <c r="M89" s="18">
        <f t="shared" si="25"/>
        <v>200</v>
      </c>
      <c r="N89" s="18">
        <f t="shared" si="25"/>
        <v>200</v>
      </c>
      <c r="O89" s="18">
        <f t="shared" si="25"/>
        <v>250</v>
      </c>
      <c r="P89" s="7"/>
      <c r="Q89" s="18">
        <f>SUM(Q84:Q88)</f>
        <v>2480</v>
      </c>
      <c r="R89" s="7"/>
      <c r="S89" s="7"/>
      <c r="T89" s="7"/>
      <c r="U89" s="7"/>
      <c r="V89" s="7"/>
      <c r="W89" s="7"/>
      <c r="X89" s="7"/>
    </row>
    <row r="90" ht="19.5" customHeight="1">
      <c r="A90" s="7"/>
      <c r="B90" s="44"/>
      <c r="C90" s="7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7"/>
      <c r="Q90" s="44"/>
      <c r="R90" s="7"/>
      <c r="S90" s="7"/>
      <c r="T90" s="7"/>
      <c r="U90" s="7"/>
      <c r="V90" s="7"/>
      <c r="W90" s="7"/>
      <c r="X90" s="7"/>
    </row>
    <row r="91" ht="31.5" customHeight="1">
      <c r="A91" s="7"/>
      <c r="B91" s="49" t="s">
        <v>82</v>
      </c>
      <c r="C91" s="25" t="s">
        <v>6</v>
      </c>
      <c r="D91" s="25" t="s">
        <v>7</v>
      </c>
      <c r="E91" s="25" t="s">
        <v>8</v>
      </c>
      <c r="F91" s="25" t="s">
        <v>9</v>
      </c>
      <c r="G91" s="25" t="s">
        <v>10</v>
      </c>
      <c r="H91" s="25" t="s">
        <v>11</v>
      </c>
      <c r="I91" s="25" t="s">
        <v>12</v>
      </c>
      <c r="J91" s="25" t="s">
        <v>13</v>
      </c>
      <c r="K91" s="25" t="s">
        <v>14</v>
      </c>
      <c r="L91" s="25" t="s">
        <v>15</v>
      </c>
      <c r="M91" s="25" t="s">
        <v>16</v>
      </c>
      <c r="N91" s="25" t="s">
        <v>17</v>
      </c>
      <c r="O91" s="25" t="s">
        <v>18</v>
      </c>
      <c r="P91" s="7"/>
      <c r="Q91" s="25" t="s">
        <v>19</v>
      </c>
      <c r="R91" s="7"/>
      <c r="S91" s="7"/>
      <c r="T91" s="7"/>
      <c r="U91" s="7"/>
      <c r="V91" s="7"/>
      <c r="W91" s="7"/>
      <c r="X91" s="7"/>
    </row>
    <row r="92" ht="19.5" customHeight="1">
      <c r="A92" s="36">
        <v>0.24</v>
      </c>
      <c r="B92" s="26" t="s">
        <v>83</v>
      </c>
      <c r="C92" s="27"/>
      <c r="D92" s="29">
        <f t="shared" ref="D92:O92" si="26">D14*$A$92</f>
        <v>2599.9992</v>
      </c>
      <c r="E92" s="29">
        <f t="shared" si="26"/>
        <v>2599.9992</v>
      </c>
      <c r="F92" s="29">
        <f t="shared" si="26"/>
        <v>2599.9992</v>
      </c>
      <c r="G92" s="29">
        <f t="shared" si="26"/>
        <v>2599.9992</v>
      </c>
      <c r="H92" s="29">
        <f t="shared" si="26"/>
        <v>2599.9992</v>
      </c>
      <c r="I92" s="29">
        <f t="shared" si="26"/>
        <v>2599.9992</v>
      </c>
      <c r="J92" s="29">
        <f t="shared" si="26"/>
        <v>2599.9992</v>
      </c>
      <c r="K92" s="29">
        <f t="shared" si="26"/>
        <v>2599.9992</v>
      </c>
      <c r="L92" s="29">
        <f t="shared" si="26"/>
        <v>2599.9992</v>
      </c>
      <c r="M92" s="29">
        <f t="shared" si="26"/>
        <v>2599.9992</v>
      </c>
      <c r="N92" s="29">
        <f t="shared" si="26"/>
        <v>2599.9992</v>
      </c>
      <c r="O92" s="29">
        <f t="shared" si="26"/>
        <v>2599.9992</v>
      </c>
      <c r="P92" s="7"/>
      <c r="Q92" s="29">
        <f t="shared" ref="Q92:Q93" si="27">SUM(D92:O92)</f>
        <v>31199.9904</v>
      </c>
      <c r="R92" s="7"/>
      <c r="S92" s="7"/>
      <c r="T92" s="7"/>
      <c r="U92" s="7"/>
      <c r="V92" s="7"/>
      <c r="W92" s="7"/>
      <c r="X92" s="7"/>
    </row>
    <row r="93" ht="19.5" customHeight="1">
      <c r="A93" s="7"/>
      <c r="B93" s="31" t="s">
        <v>29</v>
      </c>
      <c r="C93" s="27"/>
      <c r="D93" s="29">
        <v>0.0</v>
      </c>
      <c r="E93" s="29">
        <v>0.0</v>
      </c>
      <c r="F93" s="29">
        <v>0.0</v>
      </c>
      <c r="G93" s="29">
        <v>0.0</v>
      </c>
      <c r="H93" s="29">
        <v>0.0</v>
      </c>
      <c r="I93" s="29">
        <v>0.0</v>
      </c>
      <c r="J93" s="29">
        <v>0.0</v>
      </c>
      <c r="K93" s="29">
        <v>0.0</v>
      </c>
      <c r="L93" s="29">
        <v>0.0</v>
      </c>
      <c r="M93" s="29">
        <v>0.0</v>
      </c>
      <c r="N93" s="29">
        <v>0.0</v>
      </c>
      <c r="O93" s="29">
        <v>0.0</v>
      </c>
      <c r="P93" s="7"/>
      <c r="Q93" s="29">
        <f t="shared" si="27"/>
        <v>0</v>
      </c>
      <c r="R93" s="7"/>
      <c r="S93" s="7"/>
      <c r="T93" s="7"/>
      <c r="U93" s="7"/>
      <c r="V93" s="7"/>
      <c r="W93" s="7"/>
      <c r="X93" s="7"/>
    </row>
    <row r="94" ht="19.5" customHeight="1">
      <c r="A94" s="7"/>
      <c r="B94" s="16" t="s">
        <v>84</v>
      </c>
      <c r="C94" s="17"/>
      <c r="D94" s="18">
        <f t="shared" ref="D94:O94" si="28">SUM(D92:D93)</f>
        <v>2599.9992</v>
      </c>
      <c r="E94" s="18">
        <f t="shared" si="28"/>
        <v>2599.9992</v>
      </c>
      <c r="F94" s="18">
        <f t="shared" si="28"/>
        <v>2599.9992</v>
      </c>
      <c r="G94" s="18">
        <f t="shared" si="28"/>
        <v>2599.9992</v>
      </c>
      <c r="H94" s="18">
        <f t="shared" si="28"/>
        <v>2599.9992</v>
      </c>
      <c r="I94" s="18">
        <f t="shared" si="28"/>
        <v>2599.9992</v>
      </c>
      <c r="J94" s="18">
        <f t="shared" si="28"/>
        <v>2599.9992</v>
      </c>
      <c r="K94" s="18">
        <f t="shared" si="28"/>
        <v>2599.9992</v>
      </c>
      <c r="L94" s="18">
        <f t="shared" si="28"/>
        <v>2599.9992</v>
      </c>
      <c r="M94" s="18">
        <f t="shared" si="28"/>
        <v>2599.9992</v>
      </c>
      <c r="N94" s="18">
        <f t="shared" si="28"/>
        <v>2599.9992</v>
      </c>
      <c r="O94" s="18">
        <f t="shared" si="28"/>
        <v>2599.9992</v>
      </c>
      <c r="P94" s="7"/>
      <c r="Q94" s="18">
        <f>SUM(Q92:Q93)</f>
        <v>31199.9904</v>
      </c>
      <c r="R94" s="7"/>
      <c r="S94" s="7"/>
      <c r="T94" s="7"/>
      <c r="U94" s="7"/>
      <c r="V94" s="7"/>
      <c r="W94" s="7"/>
      <c r="X94" s="7"/>
    </row>
    <row r="95" ht="19.5" customHeight="1">
      <c r="A95" s="7"/>
      <c r="B95" s="44"/>
      <c r="C95" s="7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7"/>
      <c r="Q95" s="44"/>
      <c r="R95" s="7"/>
      <c r="S95" s="7"/>
      <c r="T95" s="7"/>
      <c r="U95" s="7"/>
      <c r="V95" s="7"/>
      <c r="W95" s="7"/>
      <c r="X95" s="7"/>
    </row>
    <row r="96" ht="19.5" customHeight="1">
      <c r="A96" s="7"/>
      <c r="B96" s="16" t="s">
        <v>21</v>
      </c>
      <c r="C96" s="17"/>
      <c r="D96" s="18">
        <f t="shared" ref="D96:O96" si="29">SUM(D51,D59,D67,D81,D89,D94)</f>
        <v>6467.4992</v>
      </c>
      <c r="E96" s="18">
        <f t="shared" si="29"/>
        <v>6437.4992</v>
      </c>
      <c r="F96" s="18">
        <f t="shared" si="29"/>
        <v>6437.4992</v>
      </c>
      <c r="G96" s="18">
        <f t="shared" si="29"/>
        <v>7062.4992</v>
      </c>
      <c r="H96" s="18">
        <f t="shared" si="29"/>
        <v>6812.4992</v>
      </c>
      <c r="I96" s="18">
        <f t="shared" si="29"/>
        <v>6812.4992</v>
      </c>
      <c r="J96" s="18">
        <f t="shared" si="29"/>
        <v>6812.4992</v>
      </c>
      <c r="K96" s="18">
        <f t="shared" si="29"/>
        <v>7062.4992</v>
      </c>
      <c r="L96" s="18">
        <f t="shared" si="29"/>
        <v>6812.4992</v>
      </c>
      <c r="M96" s="18">
        <f t="shared" si="29"/>
        <v>6812.4992</v>
      </c>
      <c r="N96" s="18">
        <f t="shared" si="29"/>
        <v>7062.4992</v>
      </c>
      <c r="O96" s="18">
        <f t="shared" si="29"/>
        <v>6912.4992</v>
      </c>
      <c r="P96" s="7"/>
      <c r="Q96" s="18">
        <f>SUM(Q51,Q59,Q67,Q81,Q89,Q94)</f>
        <v>81504.9904</v>
      </c>
      <c r="R96" s="7"/>
      <c r="S96" s="7"/>
      <c r="T96" s="7"/>
      <c r="U96" s="7"/>
      <c r="V96" s="7"/>
      <c r="W96" s="7"/>
      <c r="X96" s="7"/>
    </row>
    <row r="97" ht="19.5" customHeight="1">
      <c r="A97" s="7"/>
      <c r="B97" s="50"/>
      <c r="C97" s="7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7"/>
      <c r="Q97" s="42"/>
      <c r="R97" s="7"/>
      <c r="S97" s="7"/>
      <c r="T97" s="7"/>
      <c r="U97" s="7"/>
      <c r="V97" s="7"/>
      <c r="W97" s="7"/>
      <c r="X97" s="7"/>
    </row>
    <row r="98" ht="49.5" customHeight="1">
      <c r="A98" s="43"/>
      <c r="B98" s="51" t="s">
        <v>85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3"/>
      <c r="R98" s="43"/>
      <c r="S98" s="43"/>
      <c r="T98" s="43"/>
      <c r="U98" s="43"/>
      <c r="V98" s="43"/>
      <c r="W98" s="43"/>
      <c r="X98" s="43"/>
      <c r="Y98" s="43"/>
      <c r="Z98" s="43"/>
    </row>
    <row r="99" ht="15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5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5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30.0" customHeight="1">
      <c r="A102" s="54"/>
      <c r="B102" s="55" t="s">
        <v>86</v>
      </c>
      <c r="C102" s="56" t="s">
        <v>87</v>
      </c>
      <c r="D102" s="57" t="s">
        <v>7</v>
      </c>
      <c r="E102" s="57" t="s">
        <v>8</v>
      </c>
      <c r="F102" s="57" t="s">
        <v>9</v>
      </c>
      <c r="G102" s="57" t="s">
        <v>10</v>
      </c>
      <c r="H102" s="57" t="s">
        <v>11</v>
      </c>
      <c r="I102" s="57" t="s">
        <v>12</v>
      </c>
      <c r="J102" s="57" t="s">
        <v>13</v>
      </c>
      <c r="K102" s="57" t="s">
        <v>14</v>
      </c>
      <c r="L102" s="57" t="s">
        <v>15</v>
      </c>
      <c r="M102" s="57" t="s">
        <v>16</v>
      </c>
      <c r="N102" s="57" t="s">
        <v>17</v>
      </c>
      <c r="O102" s="57" t="s">
        <v>18</v>
      </c>
      <c r="P102" s="58"/>
      <c r="Q102" s="59" t="s">
        <v>88</v>
      </c>
      <c r="R102" s="54"/>
      <c r="S102" s="54"/>
      <c r="T102" s="54"/>
      <c r="U102" s="54"/>
      <c r="V102" s="54"/>
      <c r="W102" s="54"/>
      <c r="X102" s="54"/>
      <c r="Y102" s="60"/>
      <c r="Z102" s="60"/>
    </row>
    <row r="103" ht="19.5" customHeight="1">
      <c r="A103" s="7"/>
      <c r="B103" s="61" t="s">
        <v>89</v>
      </c>
      <c r="C103" s="62">
        <v>57000.0</v>
      </c>
      <c r="D103" s="63">
        <f>C103-D62-D66</f>
        <v>55655</v>
      </c>
      <c r="E103" s="63">
        <f t="shared" ref="E103:O103" si="30">D103-E62</f>
        <v>54310</v>
      </c>
      <c r="F103" s="63">
        <f t="shared" si="30"/>
        <v>52965</v>
      </c>
      <c r="G103" s="63">
        <f t="shared" si="30"/>
        <v>51620</v>
      </c>
      <c r="H103" s="63">
        <f t="shared" si="30"/>
        <v>50275</v>
      </c>
      <c r="I103" s="63">
        <f t="shared" si="30"/>
        <v>48930</v>
      </c>
      <c r="J103" s="63">
        <f t="shared" si="30"/>
        <v>47585</v>
      </c>
      <c r="K103" s="63">
        <f t="shared" si="30"/>
        <v>46240</v>
      </c>
      <c r="L103" s="63">
        <f t="shared" si="30"/>
        <v>44895</v>
      </c>
      <c r="M103" s="63">
        <f t="shared" si="30"/>
        <v>43550</v>
      </c>
      <c r="N103" s="63">
        <f t="shared" si="30"/>
        <v>42205</v>
      </c>
      <c r="O103" s="63">
        <f t="shared" si="30"/>
        <v>40860</v>
      </c>
      <c r="P103" s="64"/>
      <c r="Q103" s="65">
        <f t="shared" ref="Q103:Q104" si="32">Q62</f>
        <v>16140</v>
      </c>
      <c r="R103" s="66"/>
      <c r="S103" s="7"/>
      <c r="T103" s="7"/>
      <c r="U103" s="7"/>
      <c r="V103" s="7"/>
      <c r="W103" s="7"/>
      <c r="X103" s="7"/>
    </row>
    <row r="104" ht="19.5" customHeight="1">
      <c r="A104" s="7"/>
      <c r="B104" s="26" t="s">
        <v>61</v>
      </c>
      <c r="C104" s="62">
        <v>8500.0</v>
      </c>
      <c r="D104" s="63">
        <f t="shared" ref="D104:O104" si="31">C104-D64</f>
        <v>8100</v>
      </c>
      <c r="E104" s="63">
        <f t="shared" si="31"/>
        <v>7700</v>
      </c>
      <c r="F104" s="63">
        <f t="shared" si="31"/>
        <v>7300</v>
      </c>
      <c r="G104" s="63">
        <f t="shared" si="31"/>
        <v>6900</v>
      </c>
      <c r="H104" s="63">
        <f t="shared" si="31"/>
        <v>6500</v>
      </c>
      <c r="I104" s="63">
        <f t="shared" si="31"/>
        <v>6100</v>
      </c>
      <c r="J104" s="63">
        <f t="shared" si="31"/>
        <v>5700</v>
      </c>
      <c r="K104" s="63">
        <f t="shared" si="31"/>
        <v>5300</v>
      </c>
      <c r="L104" s="63">
        <f t="shared" si="31"/>
        <v>4900</v>
      </c>
      <c r="M104" s="63">
        <f t="shared" si="31"/>
        <v>4500</v>
      </c>
      <c r="N104" s="63">
        <f t="shared" si="31"/>
        <v>4100</v>
      </c>
      <c r="O104" s="63">
        <f t="shared" si="31"/>
        <v>3700</v>
      </c>
      <c r="P104" s="64"/>
      <c r="Q104" s="65">
        <f t="shared" si="32"/>
        <v>5220</v>
      </c>
      <c r="R104" s="66"/>
      <c r="S104" s="7"/>
      <c r="T104" s="7"/>
      <c r="U104" s="7"/>
      <c r="V104" s="7"/>
      <c r="W104" s="7"/>
      <c r="X104" s="7"/>
    </row>
    <row r="105" ht="19.5" customHeight="1">
      <c r="A105" s="7"/>
      <c r="B105" s="26" t="s">
        <v>62</v>
      </c>
      <c r="C105" s="62">
        <v>2200.0</v>
      </c>
      <c r="D105" s="63">
        <f t="shared" ref="D105:O105" si="33">C105-D65</f>
        <v>2000</v>
      </c>
      <c r="E105" s="63">
        <f t="shared" si="33"/>
        <v>1800</v>
      </c>
      <c r="F105" s="63">
        <f t="shared" si="33"/>
        <v>1600</v>
      </c>
      <c r="G105" s="63">
        <f t="shared" si="33"/>
        <v>1400</v>
      </c>
      <c r="H105" s="63">
        <f t="shared" si="33"/>
        <v>1200</v>
      </c>
      <c r="I105" s="63">
        <f t="shared" si="33"/>
        <v>1000</v>
      </c>
      <c r="J105" s="63">
        <f t="shared" si="33"/>
        <v>800</v>
      </c>
      <c r="K105" s="63">
        <f t="shared" si="33"/>
        <v>600</v>
      </c>
      <c r="L105" s="63">
        <f t="shared" si="33"/>
        <v>400</v>
      </c>
      <c r="M105" s="63">
        <f t="shared" si="33"/>
        <v>200</v>
      </c>
      <c r="N105" s="63">
        <f t="shared" si="33"/>
        <v>0</v>
      </c>
      <c r="O105" s="63">
        <f t="shared" si="33"/>
        <v>0</v>
      </c>
      <c r="P105" s="64"/>
      <c r="Q105" s="65">
        <f>Q65</f>
        <v>2200</v>
      </c>
      <c r="R105" s="66"/>
      <c r="S105" s="7"/>
      <c r="T105" s="7"/>
      <c r="U105" s="7"/>
      <c r="V105" s="7"/>
      <c r="W105" s="7"/>
      <c r="X105" s="7"/>
    </row>
    <row r="106" ht="19.5" customHeight="1">
      <c r="A106" s="7"/>
      <c r="B106" s="67"/>
      <c r="C106" s="68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70"/>
      <c r="Q106" s="71"/>
      <c r="R106" s="7"/>
      <c r="S106" s="7"/>
      <c r="T106" s="7"/>
      <c r="U106" s="7"/>
      <c r="V106" s="7"/>
      <c r="W106" s="7"/>
      <c r="X106" s="7"/>
    </row>
    <row r="107" ht="19.5" customHeight="1">
      <c r="A107" s="7"/>
      <c r="B107" s="72" t="s">
        <v>90</v>
      </c>
      <c r="C107" s="73">
        <f t="shared" ref="C107:O107" si="34">sum(C103:C105)</f>
        <v>67700</v>
      </c>
      <c r="D107" s="73">
        <f t="shared" si="34"/>
        <v>65755</v>
      </c>
      <c r="E107" s="73">
        <f t="shared" si="34"/>
        <v>63810</v>
      </c>
      <c r="F107" s="73">
        <f t="shared" si="34"/>
        <v>61865</v>
      </c>
      <c r="G107" s="73">
        <f t="shared" si="34"/>
        <v>59920</v>
      </c>
      <c r="H107" s="73">
        <f t="shared" si="34"/>
        <v>57975</v>
      </c>
      <c r="I107" s="73">
        <f t="shared" si="34"/>
        <v>56030</v>
      </c>
      <c r="J107" s="73">
        <f t="shared" si="34"/>
        <v>54085</v>
      </c>
      <c r="K107" s="73">
        <f t="shared" si="34"/>
        <v>52140</v>
      </c>
      <c r="L107" s="73">
        <f t="shared" si="34"/>
        <v>50195</v>
      </c>
      <c r="M107" s="73">
        <f t="shared" si="34"/>
        <v>48250</v>
      </c>
      <c r="N107" s="73">
        <f t="shared" si="34"/>
        <v>46305</v>
      </c>
      <c r="O107" s="73">
        <f t="shared" si="34"/>
        <v>44560</v>
      </c>
      <c r="P107" s="74"/>
      <c r="Q107" s="75">
        <f>SUM(Q103:Q105)</f>
        <v>23560</v>
      </c>
      <c r="R107" s="66"/>
      <c r="S107" s="7"/>
      <c r="T107" s="7"/>
      <c r="U107" s="7"/>
      <c r="V107" s="7"/>
      <c r="W107" s="7"/>
      <c r="X107" s="7"/>
    </row>
    <row r="108" ht="19.5" customHeight="1">
      <c r="A108" s="7"/>
      <c r="B108" s="76"/>
      <c r="C108" s="68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7"/>
      <c r="Q108" s="71"/>
      <c r="R108" s="7"/>
      <c r="S108" s="7"/>
      <c r="T108" s="7"/>
      <c r="U108" s="7"/>
      <c r="V108" s="7"/>
      <c r="W108" s="7"/>
      <c r="X108" s="7"/>
    </row>
    <row r="109" ht="19.5" customHeight="1">
      <c r="A109" s="78">
        <v>6700.0</v>
      </c>
      <c r="B109" s="79" t="s">
        <v>91</v>
      </c>
      <c r="C109" s="73">
        <f t="shared" ref="C109:O109" si="35">C107-$A$109</f>
        <v>61000</v>
      </c>
      <c r="D109" s="73">
        <f t="shared" si="35"/>
        <v>59055</v>
      </c>
      <c r="E109" s="73">
        <f t="shared" si="35"/>
        <v>57110</v>
      </c>
      <c r="F109" s="73">
        <f t="shared" si="35"/>
        <v>55165</v>
      </c>
      <c r="G109" s="73">
        <f t="shared" si="35"/>
        <v>53220</v>
      </c>
      <c r="H109" s="73">
        <f t="shared" si="35"/>
        <v>51275</v>
      </c>
      <c r="I109" s="73">
        <f t="shared" si="35"/>
        <v>49330</v>
      </c>
      <c r="J109" s="73">
        <f t="shared" si="35"/>
        <v>47385</v>
      </c>
      <c r="K109" s="73">
        <f t="shared" si="35"/>
        <v>45440</v>
      </c>
      <c r="L109" s="73">
        <f t="shared" si="35"/>
        <v>43495</v>
      </c>
      <c r="M109" s="73">
        <f t="shared" si="35"/>
        <v>41550</v>
      </c>
      <c r="N109" s="73">
        <f t="shared" si="35"/>
        <v>39605</v>
      </c>
      <c r="O109" s="73">
        <f t="shared" si="35"/>
        <v>37860</v>
      </c>
      <c r="P109" s="74"/>
      <c r="Q109" s="75">
        <f>SUM(Q103:Q105)</f>
        <v>23560</v>
      </c>
      <c r="R109" s="66"/>
      <c r="S109" s="7"/>
      <c r="T109" s="7"/>
      <c r="U109" s="7"/>
      <c r="V109" s="7"/>
      <c r="W109" s="7"/>
      <c r="X109" s="7"/>
    </row>
    <row r="110" ht="19.5" customHeight="1">
      <c r="A110" s="7"/>
      <c r="B110" s="7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1"/>
      <c r="R110" s="7"/>
      <c r="S110" s="7"/>
      <c r="T110" s="7"/>
      <c r="U110" s="7"/>
      <c r="V110" s="7"/>
      <c r="W110" s="7"/>
      <c r="X110" s="7"/>
    </row>
    <row r="111" ht="30.0" customHeight="1">
      <c r="A111" s="54"/>
      <c r="B111" s="55" t="s">
        <v>92</v>
      </c>
      <c r="C111" s="56" t="s">
        <v>87</v>
      </c>
      <c r="D111" s="57" t="s">
        <v>7</v>
      </c>
      <c r="E111" s="57" t="s">
        <v>8</v>
      </c>
      <c r="F111" s="57" t="s">
        <v>9</v>
      </c>
      <c r="G111" s="57" t="s">
        <v>10</v>
      </c>
      <c r="H111" s="57" t="s">
        <v>11</v>
      </c>
      <c r="I111" s="57" t="s">
        <v>12</v>
      </c>
      <c r="J111" s="57" t="s">
        <v>13</v>
      </c>
      <c r="K111" s="57" t="s">
        <v>14</v>
      </c>
      <c r="L111" s="57" t="s">
        <v>15</v>
      </c>
      <c r="M111" s="57" t="s">
        <v>16</v>
      </c>
      <c r="N111" s="57" t="s">
        <v>17</v>
      </c>
      <c r="O111" s="57" t="s">
        <v>18</v>
      </c>
      <c r="P111" s="58"/>
      <c r="Q111" s="59" t="s">
        <v>93</v>
      </c>
      <c r="R111" s="54"/>
      <c r="S111" s="54"/>
      <c r="T111" s="54"/>
      <c r="U111" s="54"/>
      <c r="V111" s="54"/>
      <c r="W111" s="54"/>
      <c r="X111" s="54"/>
      <c r="Y111" s="60"/>
      <c r="Z111" s="60"/>
    </row>
    <row r="112" ht="19.5" customHeight="1">
      <c r="A112" s="7"/>
      <c r="B112" s="61" t="s">
        <v>94</v>
      </c>
      <c r="C112" s="62">
        <v>15000.0</v>
      </c>
      <c r="D112" s="82">
        <v>15000.0</v>
      </c>
      <c r="E112" s="82">
        <v>15000.0</v>
      </c>
      <c r="F112" s="82">
        <v>15000.0</v>
      </c>
      <c r="G112" s="82">
        <v>15000.0</v>
      </c>
      <c r="H112" s="82">
        <v>15000.0</v>
      </c>
      <c r="I112" s="82">
        <v>15000.0</v>
      </c>
      <c r="J112" s="82">
        <v>15000.0</v>
      </c>
      <c r="K112" s="82">
        <v>15000.0</v>
      </c>
      <c r="L112" s="82">
        <v>15000.0</v>
      </c>
      <c r="M112" s="82">
        <v>15000.0</v>
      </c>
      <c r="N112" s="82">
        <v>15000.0</v>
      </c>
      <c r="O112" s="82">
        <v>15000.0</v>
      </c>
      <c r="P112" s="83"/>
      <c r="Q112" s="84">
        <f t="shared" ref="Q112:Q115" si="36">O112-C112</f>
        <v>0</v>
      </c>
      <c r="R112" s="66"/>
      <c r="S112" s="7"/>
      <c r="T112" s="7"/>
      <c r="U112" s="7"/>
      <c r="V112" s="7"/>
      <c r="W112" s="7"/>
      <c r="X112" s="7"/>
    </row>
    <row r="113" ht="19.5" customHeight="1">
      <c r="A113" s="7"/>
      <c r="B113" s="61" t="s">
        <v>95</v>
      </c>
      <c r="C113" s="62">
        <v>15000.0</v>
      </c>
      <c r="D113" s="82">
        <v>15000.0</v>
      </c>
      <c r="E113" s="82">
        <v>15000.0</v>
      </c>
      <c r="F113" s="82">
        <v>15000.0</v>
      </c>
      <c r="G113" s="82">
        <v>15000.0</v>
      </c>
      <c r="H113" s="82">
        <v>15000.0</v>
      </c>
      <c r="I113" s="82">
        <v>15000.0</v>
      </c>
      <c r="J113" s="82">
        <v>15000.0</v>
      </c>
      <c r="K113" s="82">
        <v>15000.0</v>
      </c>
      <c r="L113" s="82">
        <v>15000.0</v>
      </c>
      <c r="M113" s="82">
        <v>15000.0</v>
      </c>
      <c r="N113" s="82">
        <v>15000.0</v>
      </c>
      <c r="O113" s="82">
        <v>15000.0</v>
      </c>
      <c r="P113" s="83"/>
      <c r="Q113" s="84">
        <f t="shared" si="36"/>
        <v>0</v>
      </c>
      <c r="R113" s="66"/>
      <c r="S113" s="7"/>
      <c r="T113" s="7"/>
      <c r="U113" s="7"/>
      <c r="V113" s="7"/>
      <c r="W113" s="7"/>
      <c r="X113" s="7"/>
    </row>
    <row r="114" ht="19.5" customHeight="1">
      <c r="A114" s="7"/>
      <c r="B114" s="85" t="s">
        <v>96</v>
      </c>
      <c r="C114" s="62">
        <v>6000.0</v>
      </c>
      <c r="D114" s="86">
        <v>6000.0</v>
      </c>
      <c r="E114" s="86">
        <v>6000.0</v>
      </c>
      <c r="F114" s="86">
        <v>6000.0</v>
      </c>
      <c r="G114" s="86">
        <v>6000.0</v>
      </c>
      <c r="H114" s="86">
        <v>6000.0</v>
      </c>
      <c r="I114" s="86">
        <v>6000.0</v>
      </c>
      <c r="J114" s="86">
        <v>6000.0</v>
      </c>
      <c r="K114" s="86">
        <v>6000.0</v>
      </c>
      <c r="L114" s="86">
        <v>6000.0</v>
      </c>
      <c r="M114" s="86">
        <v>6000.0</v>
      </c>
      <c r="N114" s="86">
        <v>6000.0</v>
      </c>
      <c r="O114" s="86">
        <v>6000.0</v>
      </c>
      <c r="P114" s="83"/>
      <c r="Q114" s="84">
        <f t="shared" si="36"/>
        <v>0</v>
      </c>
      <c r="R114" s="66"/>
      <c r="S114" s="7"/>
      <c r="T114" s="7"/>
      <c r="U114" s="7"/>
      <c r="V114" s="7"/>
      <c r="W114" s="7"/>
      <c r="X114" s="7"/>
    </row>
    <row r="115" ht="19.5" customHeight="1">
      <c r="A115" s="7"/>
      <c r="B115" s="85" t="s">
        <v>97</v>
      </c>
      <c r="C115" s="62">
        <v>1600.0</v>
      </c>
      <c r="D115" s="82">
        <f t="shared" ref="D115:O115" si="37">C115+D11</f>
        <v>2986.66505</v>
      </c>
      <c r="E115" s="82">
        <f t="shared" si="37"/>
        <v>4403.3301</v>
      </c>
      <c r="F115" s="82">
        <f t="shared" si="37"/>
        <v>5819.99515</v>
      </c>
      <c r="G115" s="82">
        <f t="shared" si="37"/>
        <v>6611.6602</v>
      </c>
      <c r="H115" s="82">
        <f t="shared" si="37"/>
        <v>7653.32525</v>
      </c>
      <c r="I115" s="82">
        <f t="shared" si="37"/>
        <v>8694.9903</v>
      </c>
      <c r="J115" s="82">
        <f t="shared" si="37"/>
        <v>9736.65535</v>
      </c>
      <c r="K115" s="82">
        <f t="shared" si="37"/>
        <v>10528.3204</v>
      </c>
      <c r="L115" s="82">
        <f t="shared" si="37"/>
        <v>11569.98545</v>
      </c>
      <c r="M115" s="82">
        <f t="shared" si="37"/>
        <v>12611.6505</v>
      </c>
      <c r="N115" s="82">
        <f t="shared" si="37"/>
        <v>13403.31555</v>
      </c>
      <c r="O115" s="82">
        <f t="shared" si="37"/>
        <v>16819.9806</v>
      </c>
      <c r="P115" s="83"/>
      <c r="Q115" s="84">
        <f t="shared" si="36"/>
        <v>15219.9806</v>
      </c>
      <c r="R115" s="66"/>
      <c r="S115" s="7"/>
      <c r="T115" s="7"/>
      <c r="U115" s="7"/>
      <c r="V115" s="7"/>
      <c r="W115" s="7"/>
      <c r="X115" s="7"/>
    </row>
    <row r="116" ht="19.5" customHeight="1">
      <c r="A116" s="7"/>
      <c r="B116" s="85" t="s">
        <v>98</v>
      </c>
      <c r="C116" s="62">
        <v>1800.0</v>
      </c>
      <c r="D116" s="82">
        <v>1800.0</v>
      </c>
      <c r="E116" s="82">
        <v>1800.0</v>
      </c>
      <c r="F116" s="82">
        <v>1800.0</v>
      </c>
      <c r="G116" s="82">
        <v>1800.0</v>
      </c>
      <c r="H116" s="82">
        <v>1800.0</v>
      </c>
      <c r="I116" s="82">
        <v>1800.0</v>
      </c>
      <c r="J116" s="82">
        <v>1800.0</v>
      </c>
      <c r="K116" s="82">
        <v>1800.0</v>
      </c>
      <c r="L116" s="82">
        <v>1800.0</v>
      </c>
      <c r="M116" s="82">
        <v>1800.0</v>
      </c>
      <c r="N116" s="82">
        <v>1800.0</v>
      </c>
      <c r="O116" s="82">
        <v>1800.0</v>
      </c>
      <c r="P116" s="83"/>
      <c r="Q116" s="84">
        <f>O114-C114</f>
        <v>0</v>
      </c>
      <c r="R116" s="66"/>
      <c r="S116" s="7"/>
      <c r="T116" s="7"/>
      <c r="U116" s="7"/>
      <c r="V116" s="7"/>
      <c r="W116" s="7"/>
      <c r="X116" s="7"/>
    </row>
    <row r="117" ht="19.5" customHeight="1">
      <c r="A117" s="7"/>
      <c r="B117" s="85" t="s">
        <v>99</v>
      </c>
      <c r="C117" s="62">
        <v>12000.0</v>
      </c>
      <c r="D117" s="82">
        <f t="shared" ref="D117:O117" si="38">C117+D34</f>
        <v>13083.333</v>
      </c>
      <c r="E117" s="82">
        <f t="shared" si="38"/>
        <v>14166.666</v>
      </c>
      <c r="F117" s="82">
        <f t="shared" si="38"/>
        <v>15249.999</v>
      </c>
      <c r="G117" s="82">
        <f t="shared" si="38"/>
        <v>16333.332</v>
      </c>
      <c r="H117" s="82">
        <f t="shared" si="38"/>
        <v>17416.665</v>
      </c>
      <c r="I117" s="82">
        <f t="shared" si="38"/>
        <v>18499.998</v>
      </c>
      <c r="J117" s="82">
        <f t="shared" si="38"/>
        <v>19583.331</v>
      </c>
      <c r="K117" s="82">
        <f t="shared" si="38"/>
        <v>20666.664</v>
      </c>
      <c r="L117" s="82">
        <f t="shared" si="38"/>
        <v>21749.997</v>
      </c>
      <c r="M117" s="82">
        <f t="shared" si="38"/>
        <v>22833.33</v>
      </c>
      <c r="N117" s="82">
        <f t="shared" si="38"/>
        <v>23916.663</v>
      </c>
      <c r="O117" s="82">
        <f t="shared" si="38"/>
        <v>24999.996</v>
      </c>
      <c r="P117" s="83"/>
      <c r="Q117" s="84">
        <f t="shared" ref="Q117:Q119" si="40">O117-C117</f>
        <v>12999.996</v>
      </c>
      <c r="R117" s="66"/>
      <c r="S117" s="7"/>
      <c r="T117" s="7"/>
      <c r="U117" s="7"/>
      <c r="V117" s="7"/>
      <c r="W117" s="7"/>
      <c r="X117" s="7"/>
    </row>
    <row r="118" ht="19.5" customHeight="1">
      <c r="A118" s="7"/>
      <c r="B118" s="85" t="s">
        <v>100</v>
      </c>
      <c r="C118" s="62">
        <v>9000.0</v>
      </c>
      <c r="D118" s="82">
        <f t="shared" ref="D118:O118" si="39">C118+D33+($D$14*0.04)</f>
        <v>11329.16595</v>
      </c>
      <c r="E118" s="82">
        <f t="shared" si="39"/>
        <v>13658.3319</v>
      </c>
      <c r="F118" s="82">
        <f t="shared" si="39"/>
        <v>15987.49785</v>
      </c>
      <c r="G118" s="82">
        <f t="shared" si="39"/>
        <v>18316.6638</v>
      </c>
      <c r="H118" s="82">
        <f t="shared" si="39"/>
        <v>20645.82975</v>
      </c>
      <c r="I118" s="82">
        <f t="shared" si="39"/>
        <v>22974.9957</v>
      </c>
      <c r="J118" s="82">
        <f t="shared" si="39"/>
        <v>25304.16165</v>
      </c>
      <c r="K118" s="82">
        <f t="shared" si="39"/>
        <v>27633.3276</v>
      </c>
      <c r="L118" s="82">
        <f t="shared" si="39"/>
        <v>29962.49355</v>
      </c>
      <c r="M118" s="82">
        <f t="shared" si="39"/>
        <v>32291.6595</v>
      </c>
      <c r="N118" s="82">
        <f t="shared" si="39"/>
        <v>34620.82545</v>
      </c>
      <c r="O118" s="82">
        <f t="shared" si="39"/>
        <v>37474.9914</v>
      </c>
      <c r="P118" s="83"/>
      <c r="Q118" s="84">
        <f t="shared" si="40"/>
        <v>28474.9914</v>
      </c>
      <c r="R118" s="66"/>
      <c r="S118" s="7"/>
      <c r="T118" s="7"/>
      <c r="U118" s="7"/>
      <c r="V118" s="7"/>
      <c r="W118" s="7"/>
      <c r="X118" s="7"/>
    </row>
    <row r="119" ht="19.5" customHeight="1">
      <c r="A119" s="87">
        <v>75.0</v>
      </c>
      <c r="B119" s="85" t="s">
        <v>101</v>
      </c>
      <c r="C119" s="62">
        <v>3000.0</v>
      </c>
      <c r="D119" s="82">
        <f t="shared" ref="D119:O119" si="41">C119-$A$119</f>
        <v>2925</v>
      </c>
      <c r="E119" s="82">
        <f t="shared" si="41"/>
        <v>2850</v>
      </c>
      <c r="F119" s="82">
        <f t="shared" si="41"/>
        <v>2775</v>
      </c>
      <c r="G119" s="82">
        <f t="shared" si="41"/>
        <v>2700</v>
      </c>
      <c r="H119" s="82">
        <f t="shared" si="41"/>
        <v>2625</v>
      </c>
      <c r="I119" s="82">
        <f t="shared" si="41"/>
        <v>2550</v>
      </c>
      <c r="J119" s="82">
        <f t="shared" si="41"/>
        <v>2475</v>
      </c>
      <c r="K119" s="82">
        <f t="shared" si="41"/>
        <v>2400</v>
      </c>
      <c r="L119" s="82">
        <f t="shared" si="41"/>
        <v>2325</v>
      </c>
      <c r="M119" s="82">
        <f t="shared" si="41"/>
        <v>2250</v>
      </c>
      <c r="N119" s="82">
        <f t="shared" si="41"/>
        <v>2175</v>
      </c>
      <c r="O119" s="82">
        <f t="shared" si="41"/>
        <v>2100</v>
      </c>
      <c r="P119" s="83"/>
      <c r="Q119" s="84">
        <f t="shared" si="40"/>
        <v>-900</v>
      </c>
      <c r="R119" s="66"/>
      <c r="S119" s="7"/>
      <c r="T119" s="7"/>
      <c r="U119" s="7"/>
      <c r="V119" s="7"/>
      <c r="W119" s="7"/>
      <c r="X119" s="7"/>
    </row>
    <row r="120" ht="19.5" customHeight="1">
      <c r="A120" s="7"/>
      <c r="B120" s="85" t="s">
        <v>29</v>
      </c>
      <c r="C120" s="62">
        <v>0.0</v>
      </c>
      <c r="D120" s="82">
        <v>0.0</v>
      </c>
      <c r="E120" s="82">
        <v>0.0</v>
      </c>
      <c r="F120" s="82">
        <v>0.0</v>
      </c>
      <c r="G120" s="82">
        <v>0.0</v>
      </c>
      <c r="H120" s="82">
        <v>0.0</v>
      </c>
      <c r="I120" s="82">
        <v>0.0</v>
      </c>
      <c r="J120" s="82">
        <v>0.0</v>
      </c>
      <c r="K120" s="82">
        <v>0.0</v>
      </c>
      <c r="L120" s="82">
        <v>0.0</v>
      </c>
      <c r="M120" s="82">
        <v>0.0</v>
      </c>
      <c r="N120" s="82">
        <v>0.0</v>
      </c>
      <c r="O120" s="82">
        <v>0.0</v>
      </c>
      <c r="P120" s="83"/>
      <c r="Q120" s="84">
        <v>0.0</v>
      </c>
      <c r="R120" s="66"/>
      <c r="S120" s="7"/>
      <c r="T120" s="7"/>
      <c r="U120" s="7"/>
      <c r="V120" s="7"/>
      <c r="W120" s="7"/>
      <c r="X120" s="7"/>
    </row>
    <row r="121" ht="19.5" customHeight="1">
      <c r="A121" s="7"/>
      <c r="B121" s="67"/>
      <c r="C121" s="6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9"/>
      <c r="Q121" s="90"/>
      <c r="R121" s="7"/>
      <c r="S121" s="7"/>
      <c r="T121" s="7"/>
      <c r="U121" s="7"/>
      <c r="V121" s="7"/>
      <c r="W121" s="7"/>
      <c r="X121" s="7"/>
    </row>
    <row r="122" ht="19.5" customHeight="1">
      <c r="A122" s="7"/>
      <c r="B122" s="72" t="s">
        <v>102</v>
      </c>
      <c r="C122" s="73">
        <f t="shared" ref="C122:E122" si="42">sum(C112:C120)</f>
        <v>63400</v>
      </c>
      <c r="D122" s="73">
        <f t="shared" si="42"/>
        <v>68124.164</v>
      </c>
      <c r="E122" s="73">
        <f t="shared" si="42"/>
        <v>72878.328</v>
      </c>
      <c r="F122" s="73">
        <f>sum(F112:F118)</f>
        <v>74857.492</v>
      </c>
      <c r="G122" s="73">
        <f t="shared" ref="G122:N122" si="43">sum(G112:G120)</f>
        <v>81761.656</v>
      </c>
      <c r="H122" s="73">
        <f t="shared" si="43"/>
        <v>86140.82</v>
      </c>
      <c r="I122" s="73">
        <f t="shared" si="43"/>
        <v>90519.984</v>
      </c>
      <c r="J122" s="73">
        <f t="shared" si="43"/>
        <v>94899.148</v>
      </c>
      <c r="K122" s="73">
        <f t="shared" si="43"/>
        <v>99028.312</v>
      </c>
      <c r="L122" s="73">
        <f t="shared" si="43"/>
        <v>103407.476</v>
      </c>
      <c r="M122" s="73">
        <f t="shared" si="43"/>
        <v>107786.64</v>
      </c>
      <c r="N122" s="73">
        <f t="shared" si="43"/>
        <v>111915.804</v>
      </c>
      <c r="O122" s="73">
        <f>Sum(O112:O120)</f>
        <v>119194.968</v>
      </c>
      <c r="P122" s="91"/>
      <c r="Q122" s="75">
        <f>SUM(Q112:Q121)</f>
        <v>55794.968</v>
      </c>
      <c r="R122" s="66"/>
      <c r="S122" s="7"/>
      <c r="T122" s="7"/>
      <c r="U122" s="7"/>
      <c r="V122" s="7"/>
      <c r="W122" s="7"/>
      <c r="X122" s="7"/>
    </row>
    <row r="123" ht="15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ht="15.0" customHeight="1">
      <c r="A124" s="7"/>
      <c r="B124" s="72" t="s">
        <v>103</v>
      </c>
      <c r="C124" s="92">
        <v>584.0</v>
      </c>
      <c r="D124" s="92">
        <v>584.0</v>
      </c>
      <c r="E124" s="92">
        <v>584.0</v>
      </c>
      <c r="F124" s="92">
        <v>584.0</v>
      </c>
      <c r="G124" s="92">
        <v>584.0</v>
      </c>
      <c r="H124" s="92">
        <v>584.0</v>
      </c>
      <c r="I124" s="92">
        <v>584.0</v>
      </c>
      <c r="J124" s="92">
        <v>584.0</v>
      </c>
      <c r="K124" s="92">
        <v>584.0</v>
      </c>
      <c r="L124" s="92">
        <v>584.0</v>
      </c>
      <c r="M124" s="92">
        <v>584.0</v>
      </c>
      <c r="N124" s="92">
        <v>584.0</v>
      </c>
      <c r="O124" s="92">
        <v>584.0</v>
      </c>
      <c r="P124" s="91"/>
      <c r="Q124" s="92">
        <v>584.0</v>
      </c>
      <c r="R124" s="7"/>
      <c r="S124" s="7"/>
      <c r="T124" s="7"/>
      <c r="U124" s="7"/>
      <c r="V124" s="7"/>
      <c r="W124" s="7"/>
      <c r="X124" s="7"/>
    </row>
    <row r="125" ht="15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5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5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5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5.0" customHeight="1">
      <c r="A129" s="7"/>
      <c r="B129" s="7"/>
      <c r="C129" s="7"/>
      <c r="D129" s="93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5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5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5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5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5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5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5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5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5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5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5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5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5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5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5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5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5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5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5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5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5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5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5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5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5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5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5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5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5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5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5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5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5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5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5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5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5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5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5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5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5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5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5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5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5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5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5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5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5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5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5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5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5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5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5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5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5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5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5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5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5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5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5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5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5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5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5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5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5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5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5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5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5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5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">
    <mergeCell ref="B2:C2"/>
    <mergeCell ref="B3:C3"/>
    <mergeCell ref="B5:C5"/>
    <mergeCell ref="B6:C6"/>
    <mergeCell ref="B98:Q98"/>
  </mergeCells>
  <conditionalFormatting sqref="D9:O11 D38:O96 Q38:Q40 D102:O105 D108:O108 D111:E113 F111:O120 D115:E120">
    <cfRule type="cellIs" dxfId="0" priority="1" operator="lessThan">
      <formula>0</formula>
    </cfRule>
  </conditionalFormatting>
  <conditionalFormatting sqref="D14:O20">
    <cfRule type="cellIs" dxfId="0" priority="2" operator="lessThan">
      <formula>0</formula>
    </cfRule>
  </conditionalFormatting>
  <conditionalFormatting sqref="D23:O28">
    <cfRule type="cellIs" dxfId="0" priority="3" operator="lessThan">
      <formula>0</formula>
    </cfRule>
  </conditionalFormatting>
  <conditionalFormatting sqref="D30:O30 Q30">
    <cfRule type="cellIs" dxfId="0" priority="4" operator="lessThan">
      <formula>0</formula>
    </cfRule>
  </conditionalFormatting>
  <conditionalFormatting sqref="D33:O36 C40">
    <cfRule type="cellIs" dxfId="0" priority="5" operator="lessThan">
      <formula>0</formula>
    </cfRule>
  </conditionalFormatting>
  <conditionalFormatting sqref="Q9:Q11">
    <cfRule type="cellIs" dxfId="0" priority="6" operator="lessThan">
      <formula>0</formula>
    </cfRule>
  </conditionalFormatting>
  <conditionalFormatting sqref="Q14:Q20 Q33:Q36 Q54:Q60 Q84:Q90 Q92:Q96">
    <cfRule type="cellIs" dxfId="0" priority="7" operator="lessThan">
      <formula>0</formula>
    </cfRule>
  </conditionalFormatting>
  <conditionalFormatting sqref="Q23:Q28">
    <cfRule type="cellIs" dxfId="0" priority="8" operator="lessThan">
      <formula>0</formula>
    </cfRule>
  </conditionalFormatting>
  <conditionalFormatting sqref="Q42:Q52">
    <cfRule type="cellIs" dxfId="0" priority="9" operator="lessThan">
      <formula>0</formula>
    </cfRule>
  </conditionalFormatting>
  <conditionalFormatting sqref="Q62:Q68 Q70:Q82 Q102:Q109 Q111:Q122">
    <cfRule type="cellIs" dxfId="0" priority="10" operator="lessThan">
      <formula>0</formula>
    </cfRule>
  </conditionalFormatting>
  <hyperlinks>
    <hyperlink r:id="rId1" ref="B109"/>
  </hyperlinks>
  <printOptions/>
  <pageMargins bottom="0.3" footer="0.0" header="0.0" left="0.3" right="0.3" top="0.3"/>
  <pageSetup fitToHeight="0" orientation="landscape"/>
  <drawing r:id="rId2"/>
  <extLst>
    <ext uri="{05C60535-1F16-4fd2-B633-F4F36F0B64E0}">
      <x14:sparklineGroups>
        <x14:sparklineGroup displayEmptyCellsAs="gap">
          <x14:colorSeries rgb="FF00B050"/>
          <x14:sparklines>
            <x14:sparkline>
              <xm:f>'CHARLEY 2026 Projections'!D9:O9</xm:f>
              <xm:sqref>C9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Projections'!D10:O10</xm:f>
              <xm:sqref>C10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Projections'!D11:O11</xm:f>
              <xm:sqref>C11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Projections'!D14:O14</xm:f>
              <xm:sqref>C14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Projections'!D15:O15</xm:f>
              <xm:sqref>C15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Projections'!D16:O16</xm:f>
              <xm:sqref>C16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Projections'!D17:O17</xm:f>
              <xm:sqref>C17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Projections'!E18:O18</xm:f>
              <xm:sqref>C18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Projections'!E19:O19</xm:f>
              <xm:sqref>C19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Projections'!D20:O20</xm:f>
              <xm:sqref>C20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Projections'!D23:O23</xm:f>
              <xm:sqref>C23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Projections'!D24:O24</xm:f>
              <xm:sqref>C24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Projections'!D25:O25</xm:f>
              <xm:sqref>C25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Projections'!D26:O26</xm:f>
              <xm:sqref>C26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Projections'!D27:O27</xm:f>
              <xm:sqref>C27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Projections'!D28:O28</xm:f>
              <xm:sqref>C28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Projections'!D30:O30</xm:f>
              <xm:sqref>C30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Projections'!D33:O33</xm:f>
              <xm:sqref>C33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Projections'!D34:O34</xm:f>
              <xm:sqref>C34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Projections'!D36:O36</xm:f>
              <xm:sqref>C36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Projections'!D38:O38</xm:f>
              <xm:sqref>C38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Projections'!D42:O42</xm:f>
              <xm:sqref>C42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Projections'!D43:O43</xm:f>
              <xm:sqref>C43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Projections'!D44:O44</xm:f>
              <xm:sqref>C44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Projections'!D45:O45</xm:f>
              <xm:sqref>C45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Projections'!D46:O46</xm:f>
              <xm:sqref>C46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Projections'!D47:O47</xm:f>
              <xm:sqref>C47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Projections'!D48:O48</xm:f>
              <xm:sqref>C48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Projections'!D49:O49</xm:f>
              <xm:sqref>C49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Projections'!D50:O50</xm:f>
              <xm:sqref>C50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Projections'!D51:O51</xm:f>
              <xm:sqref>C51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Projections'!D54:O54</xm:f>
              <xm:sqref>C54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Projections'!D55:O55</xm:f>
              <xm:sqref>C55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Projections'!D56:O56</xm:f>
              <xm:sqref>C56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Projections'!D57:O57</xm:f>
              <xm:sqref>C57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Projections'!D58:O58</xm:f>
              <xm:sqref>C58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Projections'!D59:O59</xm:f>
              <xm:sqref>C59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Projections'!D62:O62</xm:f>
              <xm:sqref>C62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Projections'!D63:O63</xm:f>
              <xm:sqref>C63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Projections'!D64:O64</xm:f>
              <xm:sqref>C64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Projections'!D66:O66</xm:f>
              <xm:sqref>C66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Projections'!D67:O67</xm:f>
              <xm:sqref>C67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Projections'!D70:O70</xm:f>
              <xm:sqref>C70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Projections'!D71:O71</xm:f>
              <xm:sqref>C71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Projections'!D72:O72</xm:f>
              <xm:sqref>C72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Projections'!D73:O73</xm:f>
              <xm:sqref>C73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Projections'!D74:O74</xm:f>
              <xm:sqref>C74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Projections'!D75:O75</xm:f>
              <xm:sqref>C75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Projections'!D76:O76</xm:f>
              <xm:sqref>C76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Projections'!D77:O77</xm:f>
              <xm:sqref>C77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Projections'!D78:O78</xm:f>
              <xm:sqref>C78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Projections'!D79:O79</xm:f>
              <xm:sqref>C79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Projections'!D80:O80</xm:f>
              <xm:sqref>C80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Projections'!D81:O81</xm:f>
              <xm:sqref>C81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Projections'!D84:O84</xm:f>
              <xm:sqref>C84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Projections'!D85:O85</xm:f>
              <xm:sqref>C85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Projections'!D86:O86</xm:f>
              <xm:sqref>C86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Projections'!D87:O87</xm:f>
              <xm:sqref>C87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Projections'!D88:O88</xm:f>
              <xm:sqref>C88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Projections'!D89:O89</xm:f>
              <xm:sqref>C89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Projections'!D92:O92</xm:f>
              <xm:sqref>C92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Projections'!D93:O93</xm:f>
              <xm:sqref>C93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Projections'!D94:O94</xm:f>
              <xm:sqref>C94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Projections'!D96:O96</xm:f>
              <xm:sqref>C96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57.71"/>
    <col customWidth="1" min="3" max="3" width="15.86"/>
    <col customWidth="1" min="4" max="15" width="12.71"/>
    <col customWidth="1" min="16" max="16" width="3.71"/>
    <col customWidth="1" min="17" max="17" width="12.71"/>
    <col customWidth="1" min="18" max="18" width="3.71"/>
    <col customWidth="1" min="19" max="24" width="28.71"/>
  </cols>
  <sheetData>
    <row r="1" ht="49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1.75" customHeight="1">
      <c r="A2" s="3"/>
      <c r="B2" s="4" t="s">
        <v>1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</row>
    <row r="3" ht="34.5" customHeight="1">
      <c r="A3" s="8"/>
      <c r="B3" s="9" t="s">
        <v>2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8"/>
      <c r="S3" s="8"/>
      <c r="T3" s="8"/>
      <c r="U3" s="8"/>
      <c r="V3" s="8"/>
      <c r="W3" s="8"/>
      <c r="X3" s="8"/>
    </row>
    <row r="4" ht="15.0" customHeight="1">
      <c r="A4" s="7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S4" s="7"/>
      <c r="T4" s="7"/>
      <c r="U4" s="7"/>
      <c r="V4" s="7"/>
      <c r="W4" s="7"/>
      <c r="X4" s="7"/>
    </row>
    <row r="5" ht="21.75" customHeight="1">
      <c r="A5" s="3"/>
      <c r="B5" s="4" t="s">
        <v>3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  <c r="W5" s="7"/>
      <c r="X5" s="7"/>
    </row>
    <row r="6" ht="34.5" customHeight="1">
      <c r="A6" s="8"/>
      <c r="B6" s="9" t="s">
        <v>104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8"/>
      <c r="S6" s="8"/>
      <c r="T6" s="8"/>
      <c r="U6" s="8"/>
      <c r="V6" s="8"/>
      <c r="W6" s="8"/>
      <c r="X6" s="8"/>
    </row>
    <row r="7" ht="15.0" customHeight="1">
      <c r="A7" s="7"/>
      <c r="B7" s="14" t="s">
        <v>105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7"/>
      <c r="T7" s="7"/>
      <c r="U7" s="7"/>
      <c r="V7" s="7"/>
      <c r="W7" s="7"/>
      <c r="X7" s="7"/>
    </row>
    <row r="8" ht="19.5" customHeight="1">
      <c r="A8" s="8"/>
      <c r="B8" s="12"/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1"/>
      <c r="Q8" s="15" t="s">
        <v>19</v>
      </c>
      <c r="S8" s="8"/>
      <c r="T8" s="8"/>
      <c r="U8" s="8"/>
      <c r="V8" s="8"/>
      <c r="W8" s="8"/>
      <c r="X8" s="8"/>
    </row>
    <row r="9" ht="19.5" customHeight="1">
      <c r="A9" s="7"/>
      <c r="B9" s="16" t="s">
        <v>20</v>
      </c>
      <c r="C9" s="17"/>
      <c r="D9" s="18">
        <f t="shared" ref="D9:O9" si="1">D39</f>
        <v>6576</v>
      </c>
      <c r="E9" s="18">
        <f t="shared" si="1"/>
        <v>9604.16425</v>
      </c>
      <c r="F9" s="18">
        <f t="shared" si="1"/>
        <v>7854.16425</v>
      </c>
      <c r="G9" s="18">
        <f t="shared" si="1"/>
        <v>7854.16425</v>
      </c>
      <c r="H9" s="18">
        <f t="shared" si="1"/>
        <v>7854.16425</v>
      </c>
      <c r="I9" s="18">
        <f t="shared" si="1"/>
        <v>7854.16425</v>
      </c>
      <c r="J9" s="18">
        <f t="shared" si="1"/>
        <v>7854.16425</v>
      </c>
      <c r="K9" s="18">
        <f t="shared" si="1"/>
        <v>7854.16425</v>
      </c>
      <c r="L9" s="18">
        <f t="shared" si="1"/>
        <v>7854.16425</v>
      </c>
      <c r="M9" s="18">
        <f t="shared" si="1"/>
        <v>7854.16425</v>
      </c>
      <c r="N9" s="18">
        <f t="shared" si="1"/>
        <v>7854.16425</v>
      </c>
      <c r="O9" s="18">
        <f t="shared" si="1"/>
        <v>10329.16425</v>
      </c>
      <c r="P9" s="19"/>
      <c r="Q9" s="18">
        <f t="shared" ref="Q9:Q10" si="3">SUM(D9:O9)</f>
        <v>97196.80675</v>
      </c>
      <c r="S9" s="7"/>
      <c r="T9" s="7"/>
      <c r="U9" s="7"/>
      <c r="V9" s="7"/>
    </row>
    <row r="10" ht="19.5" customHeight="1">
      <c r="A10" s="7"/>
      <c r="B10" s="16" t="s">
        <v>21</v>
      </c>
      <c r="C10" s="20"/>
      <c r="D10" s="21">
        <f t="shared" ref="D10:O10" si="2">D97</f>
        <v>7848.5</v>
      </c>
      <c r="E10" s="21">
        <f t="shared" si="2"/>
        <v>6987.4992</v>
      </c>
      <c r="F10" s="21">
        <f t="shared" si="2"/>
        <v>6467.4992</v>
      </c>
      <c r="G10" s="21">
        <f t="shared" si="2"/>
        <v>7192.4992</v>
      </c>
      <c r="H10" s="21">
        <f t="shared" si="2"/>
        <v>6942.4992</v>
      </c>
      <c r="I10" s="21">
        <f t="shared" si="2"/>
        <v>6942.4992</v>
      </c>
      <c r="J10" s="21">
        <f t="shared" si="2"/>
        <v>6942.4992</v>
      </c>
      <c r="K10" s="21">
        <f t="shared" si="2"/>
        <v>7192.4992</v>
      </c>
      <c r="L10" s="21">
        <f t="shared" si="2"/>
        <v>6942.4992</v>
      </c>
      <c r="M10" s="21">
        <f t="shared" si="2"/>
        <v>6942.4992</v>
      </c>
      <c r="N10" s="21">
        <f t="shared" si="2"/>
        <v>7192.4992</v>
      </c>
      <c r="O10" s="21">
        <f t="shared" si="2"/>
        <v>7762.4992</v>
      </c>
      <c r="P10" s="7"/>
      <c r="Q10" s="21">
        <f t="shared" si="3"/>
        <v>85355.9912</v>
      </c>
      <c r="R10" s="7"/>
      <c r="S10" s="7"/>
      <c r="T10" s="7"/>
      <c r="U10" s="7"/>
      <c r="V10" s="7"/>
      <c r="W10" s="7"/>
      <c r="X10" s="7"/>
    </row>
    <row r="11" ht="21.75" customHeight="1">
      <c r="A11" s="7"/>
      <c r="B11" s="16" t="s">
        <v>22</v>
      </c>
      <c r="C11" s="22"/>
      <c r="D11" s="23">
        <f t="shared" ref="D11:O11" si="4">D9-D10</f>
        <v>-1272.5</v>
      </c>
      <c r="E11" s="23">
        <f t="shared" si="4"/>
        <v>2616.66505</v>
      </c>
      <c r="F11" s="23">
        <f t="shared" si="4"/>
        <v>1386.66505</v>
      </c>
      <c r="G11" s="23">
        <f t="shared" si="4"/>
        <v>661.66505</v>
      </c>
      <c r="H11" s="23">
        <f t="shared" si="4"/>
        <v>911.66505</v>
      </c>
      <c r="I11" s="23">
        <f t="shared" si="4"/>
        <v>911.66505</v>
      </c>
      <c r="J11" s="23">
        <f t="shared" si="4"/>
        <v>911.66505</v>
      </c>
      <c r="K11" s="23">
        <f t="shared" si="4"/>
        <v>661.66505</v>
      </c>
      <c r="L11" s="23">
        <f t="shared" si="4"/>
        <v>911.66505</v>
      </c>
      <c r="M11" s="23">
        <f t="shared" si="4"/>
        <v>911.66505</v>
      </c>
      <c r="N11" s="23">
        <f t="shared" si="4"/>
        <v>661.66505</v>
      </c>
      <c r="O11" s="23">
        <f t="shared" si="4"/>
        <v>2566.66505</v>
      </c>
      <c r="P11" s="19"/>
      <c r="Q11" s="23">
        <f>Q9-Q10</f>
        <v>11840.81555</v>
      </c>
      <c r="S11" s="7"/>
      <c r="T11" s="7"/>
      <c r="U11" s="7"/>
      <c r="V11" s="7"/>
    </row>
    <row r="12" ht="19.5" customHeight="1">
      <c r="A12" s="7"/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9"/>
      <c r="Q12" s="7"/>
      <c r="S12" s="7"/>
      <c r="T12" s="7"/>
      <c r="U12" s="7"/>
      <c r="V12" s="7"/>
    </row>
    <row r="13" ht="31.5" customHeight="1">
      <c r="A13" s="8"/>
      <c r="B13" s="24" t="s">
        <v>23</v>
      </c>
      <c r="C13" s="15" t="s">
        <v>6</v>
      </c>
      <c r="D13" s="25" t="s">
        <v>7</v>
      </c>
      <c r="E13" s="25" t="s">
        <v>8</v>
      </c>
      <c r="F13" s="25" t="s">
        <v>9</v>
      </c>
      <c r="G13" s="25" t="s">
        <v>10</v>
      </c>
      <c r="H13" s="25" t="s">
        <v>11</v>
      </c>
      <c r="I13" s="25" t="s">
        <v>12</v>
      </c>
      <c r="J13" s="25" t="s">
        <v>13</v>
      </c>
      <c r="K13" s="25" t="s">
        <v>14</v>
      </c>
      <c r="L13" s="25" t="s">
        <v>15</v>
      </c>
      <c r="M13" s="25" t="s">
        <v>16</v>
      </c>
      <c r="N13" s="25" t="s">
        <v>17</v>
      </c>
      <c r="O13" s="25" t="s">
        <v>18</v>
      </c>
      <c r="P13" s="11"/>
      <c r="Q13" s="25" t="s">
        <v>19</v>
      </c>
      <c r="S13" s="8"/>
      <c r="T13" s="8"/>
      <c r="U13" s="8"/>
      <c r="V13" s="8"/>
      <c r="W13" s="8"/>
      <c r="X13" s="8"/>
    </row>
    <row r="14" ht="19.5" customHeight="1">
      <c r="A14" s="7"/>
      <c r="B14" s="26" t="s">
        <v>24</v>
      </c>
      <c r="C14" s="27"/>
      <c r="D14" s="28">
        <f>5000+5000</f>
        <v>10000</v>
      </c>
      <c r="E14" s="28">
        <v>10833.33</v>
      </c>
      <c r="F14" s="28">
        <v>10833.33</v>
      </c>
      <c r="G14" s="28">
        <v>10833.33</v>
      </c>
      <c r="H14" s="28">
        <v>10833.33</v>
      </c>
      <c r="I14" s="28">
        <v>10833.33</v>
      </c>
      <c r="J14" s="28">
        <v>10833.33</v>
      </c>
      <c r="K14" s="28">
        <v>10833.33</v>
      </c>
      <c r="L14" s="28">
        <v>10833.33</v>
      </c>
      <c r="M14" s="28">
        <v>10833.33</v>
      </c>
      <c r="N14" s="28">
        <v>10833.33</v>
      </c>
      <c r="O14" s="28">
        <v>10833.33</v>
      </c>
      <c r="P14" s="19"/>
      <c r="Q14" s="29">
        <f t="shared" ref="Q14:Q19" si="5">SUM(D14:O14)</f>
        <v>129166.63</v>
      </c>
      <c r="S14" s="7"/>
      <c r="T14" s="7"/>
      <c r="U14" s="7"/>
      <c r="V14" s="7"/>
    </row>
    <row r="15" ht="19.5" customHeight="1">
      <c r="A15" s="7"/>
      <c r="B15" s="26" t="s">
        <v>25</v>
      </c>
      <c r="C15" s="27"/>
      <c r="D15" s="28">
        <v>2500.0</v>
      </c>
      <c r="E15" s="28">
        <v>1750.0</v>
      </c>
      <c r="F15" s="29">
        <v>0.0</v>
      </c>
      <c r="G15" s="29">
        <v>0.0</v>
      </c>
      <c r="H15" s="29">
        <v>0.0</v>
      </c>
      <c r="I15" s="29">
        <v>0.0</v>
      </c>
      <c r="J15" s="29">
        <v>0.0</v>
      </c>
      <c r="K15" s="29">
        <v>0.0</v>
      </c>
      <c r="L15" s="29">
        <v>0.0</v>
      </c>
      <c r="M15" s="29">
        <v>0.0</v>
      </c>
      <c r="N15" s="29">
        <v>0.0</v>
      </c>
      <c r="O15" s="28">
        <v>3000.0</v>
      </c>
      <c r="P15" s="19"/>
      <c r="Q15" s="29">
        <f t="shared" si="5"/>
        <v>7250</v>
      </c>
      <c r="S15" s="7"/>
      <c r="T15" s="7"/>
      <c r="U15" s="7"/>
      <c r="V15" s="7"/>
    </row>
    <row r="16" ht="19.5" customHeight="1">
      <c r="A16" s="7"/>
      <c r="B16" s="26" t="s">
        <v>26</v>
      </c>
      <c r="C16" s="27"/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0.0</v>
      </c>
      <c r="L16" s="29">
        <v>0.0</v>
      </c>
      <c r="M16" s="29">
        <v>0.0</v>
      </c>
      <c r="N16" s="29">
        <v>0.0</v>
      </c>
      <c r="O16" s="29">
        <v>0.0</v>
      </c>
      <c r="P16" s="19"/>
      <c r="Q16" s="29">
        <f t="shared" si="5"/>
        <v>0</v>
      </c>
      <c r="S16" s="7"/>
      <c r="T16" s="7"/>
      <c r="U16" s="7"/>
      <c r="V16" s="7"/>
    </row>
    <row r="17" ht="19.5" customHeight="1">
      <c r="A17" s="7"/>
      <c r="B17" s="26" t="s">
        <v>27</v>
      </c>
      <c r="C17" s="27"/>
      <c r="D17" s="29">
        <v>0.0</v>
      </c>
      <c r="E17" s="29">
        <v>0.0</v>
      </c>
      <c r="F17" s="29">
        <v>0.0</v>
      </c>
      <c r="G17" s="29">
        <v>0.0</v>
      </c>
      <c r="H17" s="29">
        <v>0.0</v>
      </c>
      <c r="I17" s="29">
        <v>0.0</v>
      </c>
      <c r="J17" s="29">
        <v>0.0</v>
      </c>
      <c r="K17" s="29">
        <v>0.0</v>
      </c>
      <c r="L17" s="29">
        <v>0.0</v>
      </c>
      <c r="M17" s="29">
        <v>0.0</v>
      </c>
      <c r="N17" s="29">
        <v>0.0</v>
      </c>
      <c r="O17" s="29">
        <v>0.0</v>
      </c>
      <c r="P17" s="19"/>
      <c r="Q17" s="29">
        <f t="shared" si="5"/>
        <v>0</v>
      </c>
      <c r="S17" s="7"/>
      <c r="T17" s="7"/>
      <c r="U17" s="7"/>
      <c r="V17" s="7"/>
    </row>
    <row r="18" ht="19.5" customHeight="1">
      <c r="A18" s="7"/>
      <c r="B18" s="26" t="s">
        <v>28</v>
      </c>
      <c r="C18" s="27"/>
      <c r="D18" s="28"/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0.0</v>
      </c>
      <c r="K18" s="29">
        <v>0.0</v>
      </c>
      <c r="L18" s="29">
        <v>0.0</v>
      </c>
      <c r="M18" s="29">
        <v>0.0</v>
      </c>
      <c r="N18" s="29">
        <v>0.0</v>
      </c>
      <c r="O18" s="29">
        <v>0.0</v>
      </c>
      <c r="P18" s="19"/>
      <c r="Q18" s="29">
        <f t="shared" si="5"/>
        <v>0</v>
      </c>
      <c r="S18" s="7"/>
      <c r="T18" s="7"/>
      <c r="U18" s="7"/>
      <c r="V18" s="7"/>
    </row>
    <row r="19" ht="19.5" customHeight="1">
      <c r="A19" s="7"/>
      <c r="B19" s="26" t="s">
        <v>29</v>
      </c>
      <c r="C19" s="27"/>
      <c r="D19" s="28">
        <v>0.0</v>
      </c>
      <c r="E19" s="28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0.0</v>
      </c>
      <c r="O19" s="29">
        <v>0.0</v>
      </c>
      <c r="P19" s="19"/>
      <c r="Q19" s="29">
        <f t="shared" si="5"/>
        <v>0</v>
      </c>
      <c r="S19" s="7"/>
      <c r="T19" s="7"/>
      <c r="U19" s="7"/>
      <c r="V19" s="7"/>
    </row>
    <row r="20" ht="19.5" customHeight="1">
      <c r="A20" s="7"/>
      <c r="B20" s="16" t="s">
        <v>30</v>
      </c>
      <c r="C20" s="17"/>
      <c r="D20" s="18">
        <f t="shared" ref="D20:O20" si="6">SUM(D14:D19)</f>
        <v>12500</v>
      </c>
      <c r="E20" s="18">
        <f t="shared" si="6"/>
        <v>12583.33</v>
      </c>
      <c r="F20" s="18">
        <f t="shared" si="6"/>
        <v>10833.33</v>
      </c>
      <c r="G20" s="18">
        <f t="shared" si="6"/>
        <v>10833.33</v>
      </c>
      <c r="H20" s="18">
        <f t="shared" si="6"/>
        <v>10833.33</v>
      </c>
      <c r="I20" s="18">
        <f t="shared" si="6"/>
        <v>10833.33</v>
      </c>
      <c r="J20" s="18">
        <f t="shared" si="6"/>
        <v>10833.33</v>
      </c>
      <c r="K20" s="18">
        <f t="shared" si="6"/>
        <v>10833.33</v>
      </c>
      <c r="L20" s="18">
        <f t="shared" si="6"/>
        <v>10833.33</v>
      </c>
      <c r="M20" s="18">
        <f t="shared" si="6"/>
        <v>10833.33</v>
      </c>
      <c r="N20" s="18">
        <f t="shared" si="6"/>
        <v>10833.33</v>
      </c>
      <c r="O20" s="18">
        <f t="shared" si="6"/>
        <v>13833.33</v>
      </c>
      <c r="P20" s="19"/>
      <c r="Q20" s="18">
        <f>SUM(Q14:Q19)</f>
        <v>136416.63</v>
      </c>
      <c r="S20" s="7"/>
      <c r="T20" s="7"/>
      <c r="U20" s="7"/>
      <c r="V20" s="7"/>
    </row>
    <row r="21" ht="19.5" customHeight="1">
      <c r="A21" s="7"/>
      <c r="B21" s="7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9"/>
      <c r="Q21" s="7"/>
      <c r="S21" s="7"/>
      <c r="T21" s="7"/>
      <c r="U21" s="7"/>
      <c r="V21" s="7"/>
    </row>
    <row r="22" ht="31.5" hidden="1" customHeight="1">
      <c r="A22" s="7"/>
      <c r="B22" s="24" t="s">
        <v>31</v>
      </c>
      <c r="C22" s="15" t="s">
        <v>6</v>
      </c>
      <c r="D22" s="15" t="s">
        <v>7</v>
      </c>
      <c r="E22" s="15" t="s">
        <v>8</v>
      </c>
      <c r="F22" s="15" t="s">
        <v>9</v>
      </c>
      <c r="G22" s="15" t="s">
        <v>10</v>
      </c>
      <c r="H22" s="15" t="s">
        <v>11</v>
      </c>
      <c r="I22" s="15" t="s">
        <v>12</v>
      </c>
      <c r="J22" s="15" t="s">
        <v>13</v>
      </c>
      <c r="K22" s="15" t="s">
        <v>14</v>
      </c>
      <c r="L22" s="15" t="s">
        <v>15</v>
      </c>
      <c r="M22" s="15" t="s">
        <v>16</v>
      </c>
      <c r="N22" s="15" t="s">
        <v>17</v>
      </c>
      <c r="O22" s="15" t="s">
        <v>18</v>
      </c>
      <c r="P22" s="19"/>
      <c r="Q22" s="25" t="s">
        <v>19</v>
      </c>
      <c r="S22" s="7"/>
      <c r="T22" s="7"/>
      <c r="U22" s="7"/>
      <c r="V22" s="7"/>
    </row>
    <row r="23" ht="19.5" hidden="1" customHeight="1">
      <c r="A23" s="30"/>
      <c r="B23" s="31" t="s">
        <v>32</v>
      </c>
      <c r="C23" s="27"/>
      <c r="D23" s="32">
        <v>0.0</v>
      </c>
      <c r="E23" s="32">
        <v>0.0</v>
      </c>
      <c r="F23" s="32">
        <v>0.0</v>
      </c>
      <c r="G23" s="33">
        <v>0.0</v>
      </c>
      <c r="H23" s="33">
        <v>0.0</v>
      </c>
      <c r="I23" s="33">
        <v>0.0</v>
      </c>
      <c r="J23" s="33">
        <v>0.0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  <c r="P23" s="19"/>
      <c r="Q23" s="33">
        <f t="shared" ref="Q23:Q27" si="7">SUM(D23:O23)</f>
        <v>0</v>
      </c>
      <c r="S23" s="30"/>
      <c r="T23" s="30"/>
      <c r="U23" s="30"/>
      <c r="V23" s="30"/>
    </row>
    <row r="24" ht="19.5" hidden="1" customHeight="1">
      <c r="A24" s="7"/>
      <c r="B24" s="31" t="s">
        <v>33</v>
      </c>
      <c r="C24" s="27"/>
      <c r="D24" s="32">
        <v>0.0</v>
      </c>
      <c r="E24" s="32">
        <v>0.0</v>
      </c>
      <c r="F24" s="32">
        <v>0.0</v>
      </c>
      <c r="G24" s="33">
        <v>0.0</v>
      </c>
      <c r="H24" s="33">
        <v>0.0</v>
      </c>
      <c r="I24" s="33">
        <v>0.0</v>
      </c>
      <c r="J24" s="33">
        <v>0.0</v>
      </c>
      <c r="K24" s="33">
        <v>0.0</v>
      </c>
      <c r="L24" s="33">
        <v>0.0</v>
      </c>
      <c r="M24" s="33">
        <v>0.0</v>
      </c>
      <c r="N24" s="33">
        <v>0.0</v>
      </c>
      <c r="O24" s="33">
        <v>0.0</v>
      </c>
      <c r="P24" s="34"/>
      <c r="Q24" s="33">
        <f t="shared" si="7"/>
        <v>0</v>
      </c>
      <c r="S24" s="7"/>
      <c r="T24" s="7"/>
      <c r="U24" s="7"/>
      <c r="V24" s="7"/>
    </row>
    <row r="25" ht="19.5" hidden="1" customHeight="1">
      <c r="A25" s="7"/>
      <c r="B25" s="31" t="s">
        <v>34</v>
      </c>
      <c r="C25" s="27"/>
      <c r="D25" s="32">
        <v>0.0</v>
      </c>
      <c r="E25" s="32">
        <v>0.0</v>
      </c>
      <c r="F25" s="32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4"/>
      <c r="Q25" s="33">
        <f t="shared" si="7"/>
        <v>0</v>
      </c>
      <c r="S25" s="7"/>
      <c r="T25" s="7"/>
      <c r="U25" s="7"/>
      <c r="V25" s="7"/>
    </row>
    <row r="26" ht="19.5" hidden="1" customHeight="1">
      <c r="A26" s="7"/>
      <c r="B26" s="31" t="s">
        <v>35</v>
      </c>
      <c r="C26" s="27"/>
      <c r="D26" s="32">
        <v>0.0</v>
      </c>
      <c r="E26" s="32">
        <v>0.0</v>
      </c>
      <c r="F26" s="32">
        <v>0.0</v>
      </c>
      <c r="G26" s="33">
        <v>0.0</v>
      </c>
      <c r="H26" s="33">
        <v>0.0</v>
      </c>
      <c r="I26" s="33">
        <v>0.0</v>
      </c>
      <c r="J26" s="33">
        <v>0.0</v>
      </c>
      <c r="K26" s="33">
        <v>0.0</v>
      </c>
      <c r="L26" s="33">
        <v>0.0</v>
      </c>
      <c r="M26" s="33">
        <v>0.0</v>
      </c>
      <c r="N26" s="33">
        <v>0.0</v>
      </c>
      <c r="O26" s="33">
        <v>0.0</v>
      </c>
      <c r="P26" s="34"/>
      <c r="Q26" s="33">
        <f t="shared" si="7"/>
        <v>0</v>
      </c>
      <c r="S26" s="7"/>
      <c r="T26" s="7"/>
      <c r="U26" s="7"/>
      <c r="V26" s="7"/>
    </row>
    <row r="27" ht="19.5" hidden="1" customHeight="1">
      <c r="A27" s="3"/>
      <c r="B27" s="31" t="s">
        <v>29</v>
      </c>
      <c r="C27" s="27"/>
      <c r="D27" s="32">
        <v>0.0</v>
      </c>
      <c r="E27" s="32">
        <v>0.0</v>
      </c>
      <c r="F27" s="32">
        <v>0.0</v>
      </c>
      <c r="G27" s="33">
        <v>0.0</v>
      </c>
      <c r="H27" s="33">
        <v>0.0</v>
      </c>
      <c r="I27" s="33">
        <v>0.0</v>
      </c>
      <c r="J27" s="33">
        <v>0.0</v>
      </c>
      <c r="K27" s="33">
        <v>0.0</v>
      </c>
      <c r="L27" s="33">
        <v>0.0</v>
      </c>
      <c r="M27" s="33">
        <v>0.0</v>
      </c>
      <c r="N27" s="33">
        <v>0.0</v>
      </c>
      <c r="O27" s="33">
        <v>0.0</v>
      </c>
      <c r="P27" s="34"/>
      <c r="Q27" s="33">
        <f t="shared" si="7"/>
        <v>0</v>
      </c>
      <c r="S27" s="3"/>
      <c r="T27" s="3"/>
      <c r="U27" s="3"/>
      <c r="V27" s="3"/>
    </row>
    <row r="28" ht="19.5" hidden="1" customHeight="1">
      <c r="A28" s="7"/>
      <c r="B28" s="16" t="s">
        <v>36</v>
      </c>
      <c r="C28" s="17"/>
      <c r="D28" s="18">
        <f t="shared" ref="D28:O28" si="8">SUM(D23:D27)</f>
        <v>0</v>
      </c>
      <c r="E28" s="18">
        <f t="shared" si="8"/>
        <v>0</v>
      </c>
      <c r="F28" s="18">
        <f t="shared" si="8"/>
        <v>0</v>
      </c>
      <c r="G28" s="18">
        <f t="shared" si="8"/>
        <v>0</v>
      </c>
      <c r="H28" s="18">
        <f t="shared" si="8"/>
        <v>0</v>
      </c>
      <c r="I28" s="18">
        <f t="shared" si="8"/>
        <v>0</v>
      </c>
      <c r="J28" s="18">
        <f t="shared" si="8"/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9"/>
      <c r="Q28" s="18">
        <f>SUM(Q23:Q27)</f>
        <v>0</v>
      </c>
      <c r="S28" s="7"/>
      <c r="T28" s="7"/>
      <c r="U28" s="7"/>
      <c r="V28" s="7"/>
    </row>
    <row r="29" ht="19.5" hidden="1" customHeight="1">
      <c r="A29" s="7"/>
      <c r="B29" s="7"/>
      <c r="C29" s="1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9"/>
      <c r="Q29" s="7"/>
      <c r="S29" s="7"/>
      <c r="T29" s="7"/>
      <c r="U29" s="7"/>
      <c r="V29" s="7"/>
    </row>
    <row r="30" ht="19.5" customHeight="1">
      <c r="A30" s="7"/>
      <c r="B30" s="16" t="s">
        <v>37</v>
      </c>
      <c r="C30" s="17"/>
      <c r="D30" s="18">
        <f t="shared" ref="D30:O30" si="9">D20-D28</f>
        <v>12500</v>
      </c>
      <c r="E30" s="18">
        <f t="shared" si="9"/>
        <v>12583.33</v>
      </c>
      <c r="F30" s="18">
        <f t="shared" si="9"/>
        <v>10833.33</v>
      </c>
      <c r="G30" s="18">
        <f t="shared" si="9"/>
        <v>10833.33</v>
      </c>
      <c r="H30" s="18">
        <f t="shared" si="9"/>
        <v>10833.33</v>
      </c>
      <c r="I30" s="18">
        <f t="shared" si="9"/>
        <v>10833.33</v>
      </c>
      <c r="J30" s="18">
        <f t="shared" si="9"/>
        <v>10833.33</v>
      </c>
      <c r="K30" s="18">
        <f t="shared" si="9"/>
        <v>10833.33</v>
      </c>
      <c r="L30" s="18">
        <f t="shared" si="9"/>
        <v>10833.33</v>
      </c>
      <c r="M30" s="18">
        <f t="shared" si="9"/>
        <v>10833.33</v>
      </c>
      <c r="N30" s="18">
        <f t="shared" si="9"/>
        <v>10833.33</v>
      </c>
      <c r="O30" s="18">
        <f t="shared" si="9"/>
        <v>13833.33</v>
      </c>
      <c r="P30" s="19"/>
      <c r="Q30" s="18">
        <f>Q20-Q28</f>
        <v>136416.63</v>
      </c>
      <c r="S30" s="7"/>
      <c r="T30" s="7"/>
      <c r="U30" s="7"/>
      <c r="V30" s="7"/>
    </row>
    <row r="31" ht="19.5" customHeight="1">
      <c r="A31" s="7"/>
      <c r="B31" s="7"/>
      <c r="C31" s="1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9"/>
      <c r="Q31" s="7"/>
      <c r="S31" s="7"/>
      <c r="T31" s="7"/>
      <c r="U31" s="7"/>
      <c r="V31" s="7"/>
    </row>
    <row r="32" ht="31.5" customHeight="1">
      <c r="A32" s="7"/>
      <c r="B32" s="35" t="s">
        <v>38</v>
      </c>
      <c r="C32" s="15" t="s">
        <v>6</v>
      </c>
      <c r="D32" s="15" t="s">
        <v>7</v>
      </c>
      <c r="E32" s="15" t="s">
        <v>8</v>
      </c>
      <c r="F32" s="15" t="s">
        <v>9</v>
      </c>
      <c r="G32" s="15" t="s">
        <v>10</v>
      </c>
      <c r="H32" s="15" t="s">
        <v>11</v>
      </c>
      <c r="I32" s="15" t="s">
        <v>12</v>
      </c>
      <c r="J32" s="15" t="s">
        <v>13</v>
      </c>
      <c r="K32" s="15" t="s">
        <v>14</v>
      </c>
      <c r="L32" s="15" t="s">
        <v>15</v>
      </c>
      <c r="M32" s="15" t="s">
        <v>16</v>
      </c>
      <c r="N32" s="15" t="s">
        <v>17</v>
      </c>
      <c r="O32" s="15" t="s">
        <v>18</v>
      </c>
      <c r="P32" s="19"/>
      <c r="Q32" s="25" t="s">
        <v>19</v>
      </c>
      <c r="S32" s="7"/>
      <c r="T32" s="7"/>
      <c r="U32" s="7"/>
      <c r="V32" s="7"/>
    </row>
    <row r="33" ht="19.5" customHeight="1">
      <c r="A33" s="36">
        <v>0.175</v>
      </c>
      <c r="B33" s="26" t="s">
        <v>39</v>
      </c>
      <c r="C33" s="27"/>
      <c r="D33" s="32">
        <f>900+450+900</f>
        <v>2250</v>
      </c>
      <c r="E33" s="32">
        <f t="shared" ref="E33:N33" si="10">E14*$A$33</f>
        <v>1895.83275</v>
      </c>
      <c r="F33" s="32">
        <f t="shared" si="10"/>
        <v>1895.83275</v>
      </c>
      <c r="G33" s="32">
        <f t="shared" si="10"/>
        <v>1895.83275</v>
      </c>
      <c r="H33" s="32">
        <f t="shared" si="10"/>
        <v>1895.83275</v>
      </c>
      <c r="I33" s="32">
        <f t="shared" si="10"/>
        <v>1895.83275</v>
      </c>
      <c r="J33" s="32">
        <f t="shared" si="10"/>
        <v>1895.83275</v>
      </c>
      <c r="K33" s="32">
        <f t="shared" si="10"/>
        <v>1895.83275</v>
      </c>
      <c r="L33" s="32">
        <f t="shared" si="10"/>
        <v>1895.83275</v>
      </c>
      <c r="M33" s="32">
        <f t="shared" si="10"/>
        <v>1895.83275</v>
      </c>
      <c r="N33" s="32">
        <f t="shared" si="10"/>
        <v>1895.83275</v>
      </c>
      <c r="O33" s="32">
        <f>(O14+O15)*$A$33</f>
        <v>2420.83275</v>
      </c>
      <c r="P33" s="19"/>
      <c r="Q33" s="33">
        <f t="shared" ref="Q33:Q36" si="12">SUM(D33:O33)</f>
        <v>23629.16025</v>
      </c>
      <c r="S33" s="30"/>
      <c r="T33" s="30"/>
      <c r="U33" s="30"/>
      <c r="V33" s="30"/>
    </row>
    <row r="34" ht="19.5" customHeight="1">
      <c r="A34" s="36">
        <v>0.1</v>
      </c>
      <c r="B34" s="26" t="s">
        <v>40</v>
      </c>
      <c r="C34" s="27"/>
      <c r="D34" s="32">
        <f>512+250+512</f>
        <v>1274</v>
      </c>
      <c r="E34" s="32">
        <f t="shared" ref="E34:O34" si="11">E14*$A$34</f>
        <v>1083.333</v>
      </c>
      <c r="F34" s="32">
        <f t="shared" si="11"/>
        <v>1083.333</v>
      </c>
      <c r="G34" s="32">
        <f t="shared" si="11"/>
        <v>1083.333</v>
      </c>
      <c r="H34" s="32">
        <f t="shared" si="11"/>
        <v>1083.333</v>
      </c>
      <c r="I34" s="32">
        <f t="shared" si="11"/>
        <v>1083.333</v>
      </c>
      <c r="J34" s="32">
        <f t="shared" si="11"/>
        <v>1083.333</v>
      </c>
      <c r="K34" s="32">
        <f t="shared" si="11"/>
        <v>1083.333</v>
      </c>
      <c r="L34" s="32">
        <f t="shared" si="11"/>
        <v>1083.333</v>
      </c>
      <c r="M34" s="32">
        <f t="shared" si="11"/>
        <v>1083.333</v>
      </c>
      <c r="N34" s="32">
        <f t="shared" si="11"/>
        <v>1083.333</v>
      </c>
      <c r="O34" s="32">
        <f t="shared" si="11"/>
        <v>1083.333</v>
      </c>
      <c r="P34" s="34"/>
      <c r="Q34" s="33">
        <f t="shared" si="12"/>
        <v>13190.663</v>
      </c>
      <c r="S34" s="7"/>
      <c r="T34" s="7"/>
      <c r="U34" s="7"/>
      <c r="V34" s="7"/>
    </row>
    <row r="35" ht="19.5" customHeight="1">
      <c r="A35" s="54"/>
      <c r="B35" s="94" t="s">
        <v>106</v>
      </c>
      <c r="C35" s="95"/>
      <c r="D35" s="96">
        <v>2400.0</v>
      </c>
      <c r="E35" s="97"/>
      <c r="F35" s="98">
        <v>0.0</v>
      </c>
      <c r="G35" s="98">
        <v>0.0</v>
      </c>
      <c r="H35" s="98">
        <v>0.0</v>
      </c>
      <c r="I35" s="98">
        <v>0.0</v>
      </c>
      <c r="J35" s="98">
        <v>0.0</v>
      </c>
      <c r="K35" s="98">
        <v>0.0</v>
      </c>
      <c r="L35" s="98">
        <v>0.0</v>
      </c>
      <c r="M35" s="98">
        <v>0.0</v>
      </c>
      <c r="N35" s="98">
        <v>0.0</v>
      </c>
      <c r="O35" s="98">
        <v>0.0</v>
      </c>
      <c r="P35" s="99"/>
      <c r="Q35" s="98">
        <f t="shared" si="12"/>
        <v>2400</v>
      </c>
      <c r="R35" s="60"/>
      <c r="S35" s="54"/>
      <c r="T35" s="54"/>
      <c r="U35" s="54"/>
      <c r="V35" s="54"/>
      <c r="W35" s="60"/>
      <c r="X35" s="60"/>
      <c r="Y35" s="60"/>
      <c r="Z35" s="60"/>
    </row>
    <row r="36" ht="19.5" customHeight="1">
      <c r="A36" s="3"/>
      <c r="B36" s="31" t="s">
        <v>29</v>
      </c>
      <c r="C36" s="27"/>
      <c r="D36" s="32">
        <v>0.0</v>
      </c>
      <c r="E36" s="32"/>
      <c r="F36" s="32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0.0</v>
      </c>
      <c r="O36" s="33">
        <v>0.0</v>
      </c>
      <c r="P36" s="34"/>
      <c r="Q36" s="33">
        <f t="shared" si="12"/>
        <v>0</v>
      </c>
      <c r="S36" s="3"/>
      <c r="T36" s="3"/>
      <c r="U36" s="3"/>
      <c r="V36" s="3"/>
    </row>
    <row r="37" ht="19.5" customHeight="1">
      <c r="A37" s="7"/>
      <c r="B37" s="16" t="s">
        <v>41</v>
      </c>
      <c r="C37" s="17"/>
      <c r="D37" s="18">
        <f t="shared" ref="D37:O37" si="13">SUM(D33:D36)</f>
        <v>5924</v>
      </c>
      <c r="E37" s="18">
        <f t="shared" si="13"/>
        <v>2979.16575</v>
      </c>
      <c r="F37" s="18">
        <f t="shared" si="13"/>
        <v>2979.16575</v>
      </c>
      <c r="G37" s="18">
        <f t="shared" si="13"/>
        <v>2979.16575</v>
      </c>
      <c r="H37" s="18">
        <f t="shared" si="13"/>
        <v>2979.16575</v>
      </c>
      <c r="I37" s="18">
        <f t="shared" si="13"/>
        <v>2979.16575</v>
      </c>
      <c r="J37" s="18">
        <f t="shared" si="13"/>
        <v>2979.16575</v>
      </c>
      <c r="K37" s="18">
        <f t="shared" si="13"/>
        <v>2979.16575</v>
      </c>
      <c r="L37" s="18">
        <f t="shared" si="13"/>
        <v>2979.16575</v>
      </c>
      <c r="M37" s="18">
        <f t="shared" si="13"/>
        <v>2979.16575</v>
      </c>
      <c r="N37" s="18">
        <f t="shared" si="13"/>
        <v>2979.16575</v>
      </c>
      <c r="O37" s="18">
        <f t="shared" si="13"/>
        <v>3504.16575</v>
      </c>
      <c r="P37" s="19"/>
      <c r="Q37" s="18">
        <f>SUM(Q33:Q36)</f>
        <v>39219.82325</v>
      </c>
      <c r="S37" s="7"/>
      <c r="T37" s="7"/>
      <c r="U37" s="7"/>
      <c r="V37" s="7"/>
    </row>
    <row r="38" ht="19.5" customHeight="1">
      <c r="A38" s="7"/>
      <c r="B38" s="7"/>
      <c r="C38" s="19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19"/>
      <c r="Q38" s="7"/>
      <c r="S38" s="7"/>
      <c r="T38" s="7"/>
      <c r="U38" s="7"/>
      <c r="V38" s="7"/>
    </row>
    <row r="39" ht="19.5" customHeight="1">
      <c r="A39" s="7"/>
      <c r="B39" s="16" t="s">
        <v>20</v>
      </c>
      <c r="C39" s="17"/>
      <c r="D39" s="18">
        <f t="shared" ref="D39:O39" si="14">D20-D28-D37</f>
        <v>6576</v>
      </c>
      <c r="E39" s="18">
        <f t="shared" si="14"/>
        <v>9604.16425</v>
      </c>
      <c r="F39" s="18">
        <f t="shared" si="14"/>
        <v>7854.16425</v>
      </c>
      <c r="G39" s="18">
        <f t="shared" si="14"/>
        <v>7854.16425</v>
      </c>
      <c r="H39" s="18">
        <f t="shared" si="14"/>
        <v>7854.16425</v>
      </c>
      <c r="I39" s="18">
        <f t="shared" si="14"/>
        <v>7854.16425</v>
      </c>
      <c r="J39" s="18">
        <f t="shared" si="14"/>
        <v>7854.16425</v>
      </c>
      <c r="K39" s="18">
        <f t="shared" si="14"/>
        <v>7854.16425</v>
      </c>
      <c r="L39" s="18">
        <f t="shared" si="14"/>
        <v>7854.16425</v>
      </c>
      <c r="M39" s="18">
        <f t="shared" si="14"/>
        <v>7854.16425</v>
      </c>
      <c r="N39" s="18">
        <f t="shared" si="14"/>
        <v>7854.16425</v>
      </c>
      <c r="O39" s="18">
        <f t="shared" si="14"/>
        <v>10329.16425</v>
      </c>
      <c r="P39" s="19"/>
      <c r="Q39" s="18">
        <f>Q20-Q28-Q37</f>
        <v>97196.80675</v>
      </c>
      <c r="S39" s="7"/>
      <c r="T39" s="7"/>
      <c r="U39" s="7"/>
      <c r="V39" s="7"/>
    </row>
    <row r="40" ht="19.5" customHeight="1">
      <c r="A40" s="7"/>
      <c r="B40" s="12"/>
      <c r="C40" s="19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9"/>
      <c r="Q40" s="13"/>
      <c r="S40" s="7"/>
      <c r="T40" s="7"/>
      <c r="U40" s="7"/>
      <c r="V40" s="7"/>
    </row>
    <row r="41" ht="31.5" customHeight="1">
      <c r="A41" s="7"/>
      <c r="B41" s="24" t="s">
        <v>42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8"/>
      <c r="P41" s="19"/>
      <c r="Q41" s="39"/>
      <c r="S41" s="7"/>
      <c r="T41" s="7"/>
      <c r="U41" s="7"/>
      <c r="V41" s="7"/>
    </row>
    <row r="42" ht="19.5" hidden="1" customHeight="1">
      <c r="A42" s="7"/>
      <c r="B42" s="40" t="s">
        <v>43</v>
      </c>
      <c r="C42" s="25" t="s">
        <v>6</v>
      </c>
      <c r="D42" s="41" t="s">
        <v>7</v>
      </c>
      <c r="E42" s="41" t="s">
        <v>8</v>
      </c>
      <c r="F42" s="41" t="s">
        <v>9</v>
      </c>
      <c r="G42" s="41" t="s">
        <v>10</v>
      </c>
      <c r="H42" s="41" t="s">
        <v>11</v>
      </c>
      <c r="I42" s="41" t="s">
        <v>12</v>
      </c>
      <c r="J42" s="41" t="s">
        <v>13</v>
      </c>
      <c r="K42" s="41" t="s">
        <v>14</v>
      </c>
      <c r="L42" s="41" t="s">
        <v>15</v>
      </c>
      <c r="M42" s="41" t="s">
        <v>16</v>
      </c>
      <c r="N42" s="41" t="s">
        <v>17</v>
      </c>
      <c r="O42" s="41" t="s">
        <v>18</v>
      </c>
      <c r="P42" s="19"/>
      <c r="Q42" s="25" t="s">
        <v>19</v>
      </c>
      <c r="S42" s="7"/>
      <c r="T42" s="7"/>
      <c r="U42" s="7"/>
      <c r="V42" s="7"/>
    </row>
    <row r="43" ht="19.5" hidden="1" customHeight="1">
      <c r="A43" s="7"/>
      <c r="B43" s="31" t="s">
        <v>44</v>
      </c>
      <c r="C43" s="27"/>
      <c r="D43" s="28">
        <v>0.0</v>
      </c>
      <c r="E43" s="28">
        <v>0.0</v>
      </c>
      <c r="F43" s="28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42"/>
      <c r="Q43" s="29">
        <f t="shared" ref="Q43:Q51" si="15">SUM(D43:O43)</f>
        <v>0</v>
      </c>
      <c r="R43" s="7"/>
      <c r="S43" s="7"/>
      <c r="T43" s="7"/>
      <c r="U43" s="7"/>
      <c r="V43" s="7"/>
      <c r="W43" s="7"/>
      <c r="X43" s="7"/>
    </row>
    <row r="44" ht="19.5" hidden="1" customHeight="1">
      <c r="A44" s="43"/>
      <c r="B44" s="31" t="s">
        <v>45</v>
      </c>
      <c r="C44" s="27"/>
      <c r="D44" s="29">
        <v>0.0</v>
      </c>
      <c r="E44" s="29">
        <v>0.0</v>
      </c>
      <c r="F44" s="29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19"/>
      <c r="Q44" s="29">
        <f t="shared" si="15"/>
        <v>0</v>
      </c>
      <c r="S44" s="43"/>
      <c r="T44" s="43"/>
      <c r="U44" s="43"/>
      <c r="V44" s="43"/>
      <c r="W44" s="43"/>
      <c r="X44" s="43"/>
      <c r="Y44" s="43"/>
      <c r="Z44" s="43"/>
    </row>
    <row r="45" ht="19.5" hidden="1" customHeight="1">
      <c r="A45" s="7"/>
      <c r="B45" s="31" t="s">
        <v>46</v>
      </c>
      <c r="C45" s="27"/>
      <c r="D45" s="28">
        <v>0.0</v>
      </c>
      <c r="E45" s="28">
        <v>0.0</v>
      </c>
      <c r="F45" s="28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42"/>
      <c r="Q45" s="29">
        <f t="shared" si="15"/>
        <v>0</v>
      </c>
      <c r="R45" s="7"/>
      <c r="S45" s="7"/>
      <c r="T45" s="7"/>
      <c r="U45" s="7"/>
      <c r="V45" s="7"/>
      <c r="W45" s="7"/>
      <c r="X45" s="7"/>
    </row>
    <row r="46" ht="19.5" hidden="1" customHeight="1">
      <c r="A46" s="7"/>
      <c r="B46" s="31" t="s">
        <v>47</v>
      </c>
      <c r="C46" s="27"/>
      <c r="D46" s="29">
        <v>0.0</v>
      </c>
      <c r="E46" s="29">
        <v>0.0</v>
      </c>
      <c r="F46" s="29">
        <v>0.0</v>
      </c>
      <c r="G46" s="29">
        <v>0.0</v>
      </c>
      <c r="H46" s="29">
        <v>0.0</v>
      </c>
      <c r="I46" s="29">
        <v>0.0</v>
      </c>
      <c r="J46" s="29">
        <v>0.0</v>
      </c>
      <c r="K46" s="29">
        <v>0.0</v>
      </c>
      <c r="L46" s="29">
        <v>0.0</v>
      </c>
      <c r="M46" s="29">
        <v>0.0</v>
      </c>
      <c r="N46" s="29">
        <v>0.0</v>
      </c>
      <c r="O46" s="29">
        <v>0.0</v>
      </c>
      <c r="P46" s="19"/>
      <c r="Q46" s="29">
        <f t="shared" si="15"/>
        <v>0</v>
      </c>
      <c r="S46" s="7"/>
      <c r="T46" s="7"/>
      <c r="U46" s="7"/>
      <c r="V46" s="7"/>
      <c r="W46" s="7"/>
      <c r="X46" s="7"/>
    </row>
    <row r="47" ht="19.5" hidden="1" customHeight="1">
      <c r="A47" s="7"/>
      <c r="B47" s="31" t="s">
        <v>48</v>
      </c>
      <c r="C47" s="27"/>
      <c r="D47" s="29">
        <v>0.0</v>
      </c>
      <c r="E47" s="29">
        <v>0.0</v>
      </c>
      <c r="F47" s="29">
        <v>0.0</v>
      </c>
      <c r="G47" s="29">
        <v>0.0</v>
      </c>
      <c r="H47" s="29">
        <v>0.0</v>
      </c>
      <c r="I47" s="29">
        <v>0.0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9">
        <v>0.0</v>
      </c>
      <c r="P47" s="19"/>
      <c r="Q47" s="29">
        <f t="shared" si="15"/>
        <v>0</v>
      </c>
      <c r="S47" s="7"/>
      <c r="T47" s="7"/>
      <c r="U47" s="7"/>
      <c r="V47" s="7"/>
      <c r="W47" s="7"/>
      <c r="X47" s="7"/>
    </row>
    <row r="48" ht="19.5" hidden="1" customHeight="1">
      <c r="A48" s="7"/>
      <c r="B48" s="31" t="s">
        <v>49</v>
      </c>
      <c r="C48" s="27"/>
      <c r="D48" s="29">
        <v>0.0</v>
      </c>
      <c r="E48" s="29">
        <v>0.0</v>
      </c>
      <c r="F48" s="29">
        <v>0.0</v>
      </c>
      <c r="G48" s="29">
        <v>0.0</v>
      </c>
      <c r="H48" s="29">
        <v>0.0</v>
      </c>
      <c r="I48" s="29">
        <v>0.0</v>
      </c>
      <c r="J48" s="29">
        <v>0.0</v>
      </c>
      <c r="K48" s="29">
        <v>0.0</v>
      </c>
      <c r="L48" s="29">
        <v>0.0</v>
      </c>
      <c r="M48" s="29">
        <v>0.0</v>
      </c>
      <c r="N48" s="29">
        <v>0.0</v>
      </c>
      <c r="O48" s="29">
        <v>0.0</v>
      </c>
      <c r="P48" s="42"/>
      <c r="Q48" s="29">
        <f t="shared" si="15"/>
        <v>0</v>
      </c>
      <c r="R48" s="7"/>
      <c r="S48" s="7"/>
      <c r="T48" s="7"/>
      <c r="U48" s="7"/>
      <c r="V48" s="7"/>
      <c r="W48" s="7"/>
      <c r="X48" s="7"/>
    </row>
    <row r="49" ht="19.5" hidden="1" customHeight="1">
      <c r="A49" s="43"/>
      <c r="B49" s="31" t="s">
        <v>50</v>
      </c>
      <c r="C49" s="27"/>
      <c r="D49" s="29">
        <v>0.0</v>
      </c>
      <c r="E49" s="29">
        <v>0.0</v>
      </c>
      <c r="F49" s="29">
        <v>0.0</v>
      </c>
      <c r="G49" s="29">
        <v>0.0</v>
      </c>
      <c r="H49" s="29">
        <v>0.0</v>
      </c>
      <c r="I49" s="29">
        <v>0.0</v>
      </c>
      <c r="J49" s="29">
        <v>0.0</v>
      </c>
      <c r="K49" s="29">
        <v>0.0</v>
      </c>
      <c r="L49" s="29">
        <v>0.0</v>
      </c>
      <c r="M49" s="29">
        <v>0.0</v>
      </c>
      <c r="N49" s="29">
        <v>0.0</v>
      </c>
      <c r="O49" s="29">
        <v>0.0</v>
      </c>
      <c r="P49" s="19"/>
      <c r="Q49" s="29">
        <f t="shared" si="15"/>
        <v>0</v>
      </c>
      <c r="S49" s="43"/>
      <c r="T49" s="43"/>
      <c r="U49" s="43"/>
      <c r="V49" s="43"/>
      <c r="W49" s="43"/>
      <c r="X49" s="43"/>
      <c r="Y49" s="43"/>
      <c r="Z49" s="43"/>
    </row>
    <row r="50" ht="19.5" hidden="1" customHeight="1">
      <c r="A50" s="7"/>
      <c r="B50" s="31" t="s">
        <v>51</v>
      </c>
      <c r="C50" s="27"/>
      <c r="D50" s="29">
        <v>0.0</v>
      </c>
      <c r="E50" s="28">
        <v>0.0</v>
      </c>
      <c r="F50" s="29">
        <v>0.0</v>
      </c>
      <c r="G50" s="29">
        <v>0.0</v>
      </c>
      <c r="H50" s="29">
        <v>0.0</v>
      </c>
      <c r="I50" s="29">
        <v>0.0</v>
      </c>
      <c r="J50" s="29">
        <v>0.0</v>
      </c>
      <c r="K50" s="29">
        <v>0.0</v>
      </c>
      <c r="L50" s="29">
        <v>0.0</v>
      </c>
      <c r="M50" s="29">
        <v>0.0</v>
      </c>
      <c r="N50" s="29">
        <v>0.0</v>
      </c>
      <c r="O50" s="29">
        <v>0.0</v>
      </c>
      <c r="P50" s="42"/>
      <c r="Q50" s="29">
        <f t="shared" si="15"/>
        <v>0</v>
      </c>
      <c r="R50" s="7"/>
      <c r="S50" s="7"/>
      <c r="T50" s="7"/>
      <c r="U50" s="7"/>
      <c r="V50" s="7"/>
      <c r="W50" s="7"/>
      <c r="X50" s="7"/>
    </row>
    <row r="51" ht="19.5" hidden="1" customHeight="1">
      <c r="A51" s="7"/>
      <c r="B51" s="31" t="s">
        <v>29</v>
      </c>
      <c r="C51" s="27"/>
      <c r="D51" s="29">
        <v>0.0</v>
      </c>
      <c r="E51" s="29">
        <v>0.0</v>
      </c>
      <c r="F51" s="29">
        <v>0.0</v>
      </c>
      <c r="G51" s="29">
        <v>0.0</v>
      </c>
      <c r="H51" s="29">
        <v>0.0</v>
      </c>
      <c r="I51" s="29">
        <v>0.0</v>
      </c>
      <c r="J51" s="29">
        <v>0.0</v>
      </c>
      <c r="K51" s="29">
        <v>0.0</v>
      </c>
      <c r="L51" s="29">
        <v>0.0</v>
      </c>
      <c r="M51" s="29">
        <v>0.0</v>
      </c>
      <c r="N51" s="29">
        <v>0.0</v>
      </c>
      <c r="O51" s="29">
        <v>0.0</v>
      </c>
      <c r="P51" s="19"/>
      <c r="Q51" s="29">
        <f t="shared" si="15"/>
        <v>0</v>
      </c>
      <c r="S51" s="7"/>
      <c r="T51" s="7"/>
      <c r="U51" s="7"/>
      <c r="V51" s="7"/>
      <c r="W51" s="7"/>
      <c r="X51" s="7"/>
    </row>
    <row r="52" ht="19.5" hidden="1" customHeight="1">
      <c r="A52" s="7"/>
      <c r="B52" s="16" t="s">
        <v>52</v>
      </c>
      <c r="C52" s="17"/>
      <c r="D52" s="18">
        <f t="shared" ref="D52:O52" si="16">SUM(D43:D51)</f>
        <v>0</v>
      </c>
      <c r="E52" s="18">
        <f t="shared" si="16"/>
        <v>0</v>
      </c>
      <c r="F52" s="18">
        <f t="shared" si="16"/>
        <v>0</v>
      </c>
      <c r="G52" s="18">
        <f t="shared" si="16"/>
        <v>0</v>
      </c>
      <c r="H52" s="18">
        <f t="shared" si="16"/>
        <v>0</v>
      </c>
      <c r="I52" s="18">
        <f t="shared" si="16"/>
        <v>0</v>
      </c>
      <c r="J52" s="18">
        <f t="shared" si="16"/>
        <v>0</v>
      </c>
      <c r="K52" s="18">
        <f t="shared" si="16"/>
        <v>0</v>
      </c>
      <c r="L52" s="18">
        <f t="shared" si="16"/>
        <v>0</v>
      </c>
      <c r="M52" s="18">
        <f t="shared" si="16"/>
        <v>0</v>
      </c>
      <c r="N52" s="18">
        <f t="shared" si="16"/>
        <v>0</v>
      </c>
      <c r="O52" s="18">
        <f t="shared" si="16"/>
        <v>0</v>
      </c>
      <c r="P52" s="42"/>
      <c r="Q52" s="18">
        <f>SUM(Q43:Q51)</f>
        <v>0</v>
      </c>
      <c r="R52" s="7"/>
      <c r="S52" s="7"/>
      <c r="T52" s="7"/>
      <c r="U52" s="7"/>
      <c r="V52" s="7"/>
      <c r="W52" s="7"/>
      <c r="X52" s="7"/>
    </row>
    <row r="53" ht="19.5" hidden="1" customHeight="1">
      <c r="A53" s="7"/>
      <c r="B53" s="44"/>
      <c r="C53" s="7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7"/>
      <c r="Q53" s="44"/>
      <c r="R53" s="7"/>
      <c r="S53" s="7"/>
      <c r="T53" s="7"/>
      <c r="U53" s="7"/>
      <c r="V53" s="7"/>
      <c r="W53" s="7"/>
      <c r="X53" s="7"/>
    </row>
    <row r="54" ht="19.5" hidden="1" customHeight="1">
      <c r="A54" s="7"/>
      <c r="B54" s="45" t="s">
        <v>53</v>
      </c>
      <c r="C54" s="25" t="s">
        <v>6</v>
      </c>
      <c r="D54" s="25" t="s">
        <v>7</v>
      </c>
      <c r="E54" s="25" t="s">
        <v>8</v>
      </c>
      <c r="F54" s="25" t="s">
        <v>9</v>
      </c>
      <c r="G54" s="25" t="s">
        <v>10</v>
      </c>
      <c r="H54" s="25" t="s">
        <v>11</v>
      </c>
      <c r="I54" s="25" t="s">
        <v>12</v>
      </c>
      <c r="J54" s="25" t="s">
        <v>13</v>
      </c>
      <c r="K54" s="25" t="s">
        <v>14</v>
      </c>
      <c r="L54" s="25" t="s">
        <v>15</v>
      </c>
      <c r="M54" s="25" t="s">
        <v>16</v>
      </c>
      <c r="N54" s="25" t="s">
        <v>17</v>
      </c>
      <c r="O54" s="25" t="s">
        <v>18</v>
      </c>
      <c r="P54" s="7"/>
      <c r="Q54" s="25" t="s">
        <v>19</v>
      </c>
      <c r="R54" s="7"/>
      <c r="S54" s="7"/>
      <c r="T54" s="7"/>
      <c r="U54" s="7"/>
      <c r="V54" s="7"/>
      <c r="W54" s="7"/>
      <c r="X54" s="7"/>
    </row>
    <row r="55" ht="19.5" hidden="1" customHeight="1">
      <c r="A55" s="7"/>
      <c r="B55" s="31" t="s">
        <v>54</v>
      </c>
      <c r="C55" s="27"/>
      <c r="D55" s="29">
        <v>0.0</v>
      </c>
      <c r="E55" s="28">
        <v>0.0</v>
      </c>
      <c r="F55" s="29">
        <v>0.0</v>
      </c>
      <c r="G55" s="29">
        <v>0.0</v>
      </c>
      <c r="H55" s="29">
        <v>0.0</v>
      </c>
      <c r="I55" s="29">
        <v>0.0</v>
      </c>
      <c r="J55" s="29">
        <v>0.0</v>
      </c>
      <c r="K55" s="29">
        <v>0.0</v>
      </c>
      <c r="L55" s="29">
        <v>0.0</v>
      </c>
      <c r="M55" s="29">
        <v>0.0</v>
      </c>
      <c r="N55" s="29">
        <v>0.0</v>
      </c>
      <c r="O55" s="29">
        <v>0.0</v>
      </c>
      <c r="P55" s="7"/>
      <c r="Q55" s="29">
        <f t="shared" ref="Q55:Q59" si="17">SUM(D55:O55)</f>
        <v>0</v>
      </c>
      <c r="R55" s="7"/>
      <c r="S55" s="7"/>
      <c r="T55" s="7"/>
      <c r="U55" s="7"/>
      <c r="V55" s="7"/>
      <c r="W55" s="7"/>
      <c r="X55" s="7"/>
    </row>
    <row r="56" ht="19.5" hidden="1" customHeight="1">
      <c r="A56" s="7"/>
      <c r="B56" s="31" t="s">
        <v>55</v>
      </c>
      <c r="C56" s="27"/>
      <c r="D56" s="29">
        <v>0.0</v>
      </c>
      <c r="E56" s="29">
        <v>0.0</v>
      </c>
      <c r="F56" s="29">
        <v>0.0</v>
      </c>
      <c r="G56" s="29">
        <v>0.0</v>
      </c>
      <c r="H56" s="29">
        <v>0.0</v>
      </c>
      <c r="I56" s="29">
        <v>0.0</v>
      </c>
      <c r="J56" s="29">
        <v>0.0</v>
      </c>
      <c r="K56" s="29">
        <v>0.0</v>
      </c>
      <c r="L56" s="29">
        <v>0.0</v>
      </c>
      <c r="M56" s="29">
        <v>0.0</v>
      </c>
      <c r="N56" s="29">
        <v>0.0</v>
      </c>
      <c r="O56" s="29">
        <v>0.0</v>
      </c>
      <c r="P56" s="7"/>
      <c r="Q56" s="29">
        <f t="shared" si="17"/>
        <v>0</v>
      </c>
      <c r="R56" s="7"/>
      <c r="S56" s="7"/>
      <c r="T56" s="7"/>
      <c r="U56" s="7"/>
      <c r="V56" s="7"/>
      <c r="W56" s="7"/>
      <c r="X56" s="7"/>
    </row>
    <row r="57" ht="19.5" hidden="1" customHeight="1">
      <c r="A57" s="7"/>
      <c r="B57" s="31" t="s">
        <v>56</v>
      </c>
      <c r="C57" s="27"/>
      <c r="D57" s="29">
        <v>0.0</v>
      </c>
      <c r="E57" s="29">
        <v>0.0</v>
      </c>
      <c r="F57" s="29">
        <v>0.0</v>
      </c>
      <c r="G57" s="29">
        <v>0.0</v>
      </c>
      <c r="H57" s="29">
        <v>0.0</v>
      </c>
      <c r="I57" s="29">
        <v>0.0</v>
      </c>
      <c r="J57" s="29">
        <v>0.0</v>
      </c>
      <c r="K57" s="29">
        <v>0.0</v>
      </c>
      <c r="L57" s="29">
        <v>0.0</v>
      </c>
      <c r="M57" s="29">
        <v>0.0</v>
      </c>
      <c r="N57" s="29">
        <v>0.0</v>
      </c>
      <c r="O57" s="29">
        <v>0.0</v>
      </c>
      <c r="P57" s="7"/>
      <c r="Q57" s="29">
        <f t="shared" si="17"/>
        <v>0</v>
      </c>
      <c r="R57" s="7"/>
      <c r="S57" s="7"/>
      <c r="T57" s="7"/>
      <c r="U57" s="7"/>
      <c r="V57" s="7"/>
      <c r="W57" s="7"/>
      <c r="X57" s="7"/>
    </row>
    <row r="58" ht="19.5" hidden="1" customHeight="1">
      <c r="A58" s="7"/>
      <c r="B58" s="31" t="s">
        <v>29</v>
      </c>
      <c r="C58" s="27"/>
      <c r="D58" s="29">
        <v>0.0</v>
      </c>
      <c r="E58" s="29">
        <v>0.0</v>
      </c>
      <c r="F58" s="29">
        <v>0.0</v>
      </c>
      <c r="G58" s="29">
        <v>0.0</v>
      </c>
      <c r="H58" s="29">
        <v>0.0</v>
      </c>
      <c r="I58" s="29">
        <v>0.0</v>
      </c>
      <c r="J58" s="29">
        <v>0.0</v>
      </c>
      <c r="K58" s="29">
        <v>0.0</v>
      </c>
      <c r="L58" s="29">
        <v>0.0</v>
      </c>
      <c r="M58" s="29">
        <v>0.0</v>
      </c>
      <c r="N58" s="29">
        <v>0.0</v>
      </c>
      <c r="O58" s="29">
        <v>0.0</v>
      </c>
      <c r="P58" s="7"/>
      <c r="Q58" s="29">
        <f t="shared" si="17"/>
        <v>0</v>
      </c>
      <c r="R58" s="7"/>
      <c r="S58" s="7"/>
      <c r="T58" s="7"/>
      <c r="U58" s="7"/>
      <c r="V58" s="7"/>
      <c r="W58" s="7"/>
      <c r="X58" s="7"/>
    </row>
    <row r="59" ht="19.5" hidden="1" customHeight="1">
      <c r="A59" s="7"/>
      <c r="B59" s="31" t="s">
        <v>29</v>
      </c>
      <c r="C59" s="27"/>
      <c r="D59" s="29">
        <v>0.0</v>
      </c>
      <c r="E59" s="29">
        <v>0.0</v>
      </c>
      <c r="F59" s="29">
        <v>0.0</v>
      </c>
      <c r="G59" s="29">
        <v>0.0</v>
      </c>
      <c r="H59" s="29">
        <v>0.0</v>
      </c>
      <c r="I59" s="29">
        <v>0.0</v>
      </c>
      <c r="J59" s="29">
        <v>0.0</v>
      </c>
      <c r="K59" s="29">
        <v>0.0</v>
      </c>
      <c r="L59" s="29">
        <v>0.0</v>
      </c>
      <c r="M59" s="29">
        <v>0.0</v>
      </c>
      <c r="N59" s="29">
        <v>0.0</v>
      </c>
      <c r="O59" s="29">
        <v>0.0</v>
      </c>
      <c r="P59" s="7"/>
      <c r="Q59" s="29">
        <f t="shared" si="17"/>
        <v>0</v>
      </c>
      <c r="R59" s="7"/>
      <c r="S59" s="7"/>
      <c r="T59" s="7"/>
      <c r="U59" s="7"/>
      <c r="V59" s="7"/>
      <c r="W59" s="7"/>
      <c r="X59" s="7"/>
    </row>
    <row r="60" ht="19.5" hidden="1" customHeight="1">
      <c r="A60" s="7"/>
      <c r="B60" s="16" t="s">
        <v>57</v>
      </c>
      <c r="C60" s="17"/>
      <c r="D60" s="18">
        <f t="shared" ref="D60:O60" si="18">SUM(D55:D59)</f>
        <v>0</v>
      </c>
      <c r="E60" s="18">
        <f t="shared" si="18"/>
        <v>0</v>
      </c>
      <c r="F60" s="18">
        <f t="shared" si="18"/>
        <v>0</v>
      </c>
      <c r="G60" s="18">
        <f t="shared" si="18"/>
        <v>0</v>
      </c>
      <c r="H60" s="18">
        <f t="shared" si="18"/>
        <v>0</v>
      </c>
      <c r="I60" s="18">
        <f t="shared" si="18"/>
        <v>0</v>
      </c>
      <c r="J60" s="18">
        <f t="shared" si="18"/>
        <v>0</v>
      </c>
      <c r="K60" s="18">
        <f t="shared" si="18"/>
        <v>0</v>
      </c>
      <c r="L60" s="18">
        <f t="shared" si="18"/>
        <v>0</v>
      </c>
      <c r="M60" s="18">
        <f t="shared" si="18"/>
        <v>0</v>
      </c>
      <c r="N60" s="18">
        <f t="shared" si="18"/>
        <v>0</v>
      </c>
      <c r="O60" s="18">
        <f t="shared" si="18"/>
        <v>0</v>
      </c>
      <c r="P60" s="7"/>
      <c r="Q60" s="18">
        <f>SUM(Q55:Q59)</f>
        <v>0</v>
      </c>
      <c r="R60" s="7"/>
      <c r="S60" s="7"/>
      <c r="T60" s="7"/>
      <c r="U60" s="7"/>
      <c r="V60" s="7"/>
      <c r="W60" s="7"/>
      <c r="X60" s="7"/>
    </row>
    <row r="61" ht="19.5" hidden="1" customHeight="1">
      <c r="A61" s="7"/>
      <c r="B61" s="44"/>
      <c r="C61" s="7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7"/>
      <c r="Q61" s="44"/>
      <c r="R61" s="7"/>
      <c r="S61" s="7"/>
      <c r="T61" s="7"/>
      <c r="U61" s="7"/>
      <c r="V61" s="7"/>
      <c r="W61" s="7"/>
      <c r="X61" s="7"/>
    </row>
    <row r="62" ht="19.5" customHeight="1">
      <c r="A62" s="7"/>
      <c r="B62" s="46" t="s">
        <v>58</v>
      </c>
      <c r="C62" s="25" t="s">
        <v>6</v>
      </c>
      <c r="D62" s="25" t="s">
        <v>7</v>
      </c>
      <c r="E62" s="25" t="s">
        <v>8</v>
      </c>
      <c r="F62" s="25" t="s">
        <v>9</v>
      </c>
      <c r="G62" s="25" t="s">
        <v>10</v>
      </c>
      <c r="H62" s="25" t="s">
        <v>11</v>
      </c>
      <c r="I62" s="25" t="s">
        <v>12</v>
      </c>
      <c r="J62" s="25" t="s">
        <v>13</v>
      </c>
      <c r="K62" s="25" t="s">
        <v>14</v>
      </c>
      <c r="L62" s="25" t="s">
        <v>15</v>
      </c>
      <c r="M62" s="25" t="s">
        <v>16</v>
      </c>
      <c r="N62" s="25" t="s">
        <v>17</v>
      </c>
      <c r="O62" s="25" t="s">
        <v>18</v>
      </c>
      <c r="P62" s="7"/>
      <c r="Q62" s="25" t="s">
        <v>19</v>
      </c>
      <c r="R62" s="7"/>
      <c r="S62" s="7"/>
      <c r="T62" s="7"/>
      <c r="U62" s="7"/>
      <c r="V62" s="7"/>
      <c r="W62" s="7"/>
      <c r="X62" s="7"/>
    </row>
    <row r="63" ht="19.5" customHeight="1">
      <c r="A63" s="7"/>
      <c r="B63" s="26" t="s">
        <v>59</v>
      </c>
      <c r="C63" s="27"/>
      <c r="D63" s="28">
        <v>1345.0</v>
      </c>
      <c r="E63" s="28">
        <v>1345.0</v>
      </c>
      <c r="F63" s="28">
        <v>1345.0</v>
      </c>
      <c r="G63" s="28">
        <v>1345.0</v>
      </c>
      <c r="H63" s="28">
        <v>1345.0</v>
      </c>
      <c r="I63" s="28">
        <v>1345.0</v>
      </c>
      <c r="J63" s="28">
        <v>1345.0</v>
      </c>
      <c r="K63" s="28">
        <v>1345.0</v>
      </c>
      <c r="L63" s="28">
        <v>1345.0</v>
      </c>
      <c r="M63" s="28">
        <v>1345.0</v>
      </c>
      <c r="N63" s="28">
        <v>1345.0</v>
      </c>
      <c r="O63" s="28">
        <v>1345.0</v>
      </c>
      <c r="P63" s="7"/>
      <c r="Q63" s="29">
        <f t="shared" ref="Q63:Q67" si="19">SUM(D63:O63)</f>
        <v>16140</v>
      </c>
      <c r="R63" s="7"/>
      <c r="S63" s="7"/>
      <c r="T63" s="7"/>
      <c r="U63" s="7"/>
      <c r="V63" s="7"/>
      <c r="W63" s="7"/>
      <c r="X63" s="7"/>
    </row>
    <row r="64" ht="19.5" customHeight="1">
      <c r="A64" s="7"/>
      <c r="B64" s="26" t="s">
        <v>60</v>
      </c>
      <c r="C64" s="27"/>
      <c r="D64" s="28">
        <v>435.0</v>
      </c>
      <c r="E64" s="28">
        <v>435.0</v>
      </c>
      <c r="F64" s="28">
        <v>435.0</v>
      </c>
      <c r="G64" s="28">
        <v>435.0</v>
      </c>
      <c r="H64" s="28">
        <v>435.0</v>
      </c>
      <c r="I64" s="28">
        <v>435.0</v>
      </c>
      <c r="J64" s="28">
        <v>435.0</v>
      </c>
      <c r="K64" s="28">
        <v>435.0</v>
      </c>
      <c r="L64" s="28">
        <v>435.0</v>
      </c>
      <c r="M64" s="28">
        <v>435.0</v>
      </c>
      <c r="N64" s="28">
        <v>435.0</v>
      </c>
      <c r="O64" s="28">
        <v>435.0</v>
      </c>
      <c r="P64" s="7"/>
      <c r="Q64" s="29">
        <f t="shared" si="19"/>
        <v>5220</v>
      </c>
      <c r="R64" s="7"/>
      <c r="S64" s="7"/>
      <c r="T64" s="7"/>
      <c r="U64" s="7"/>
      <c r="V64" s="7"/>
      <c r="W64" s="7"/>
      <c r="X64" s="7"/>
    </row>
    <row r="65" ht="19.5" customHeight="1">
      <c r="A65" s="7"/>
      <c r="B65" s="26" t="s">
        <v>61</v>
      </c>
      <c r="C65" s="27"/>
      <c r="D65" s="28">
        <v>400.0</v>
      </c>
      <c r="E65" s="28">
        <v>400.0</v>
      </c>
      <c r="F65" s="28">
        <v>400.0</v>
      </c>
      <c r="G65" s="28">
        <v>400.0</v>
      </c>
      <c r="H65" s="28">
        <v>400.0</v>
      </c>
      <c r="I65" s="28">
        <v>400.0</v>
      </c>
      <c r="J65" s="28">
        <v>400.0</v>
      </c>
      <c r="K65" s="28">
        <v>400.0</v>
      </c>
      <c r="L65" s="28">
        <v>400.0</v>
      </c>
      <c r="M65" s="28">
        <v>400.0</v>
      </c>
      <c r="N65" s="28">
        <v>400.0</v>
      </c>
      <c r="O65" s="28">
        <v>400.0</v>
      </c>
      <c r="P65" s="7"/>
      <c r="Q65" s="29">
        <f t="shared" si="19"/>
        <v>4800</v>
      </c>
      <c r="R65" s="7"/>
      <c r="S65" s="7"/>
      <c r="T65" s="7"/>
      <c r="U65" s="7"/>
      <c r="V65" s="7"/>
      <c r="W65" s="7"/>
      <c r="X65" s="7"/>
    </row>
    <row r="66" ht="19.5" customHeight="1">
      <c r="A66" s="7"/>
      <c r="B66" s="26" t="s">
        <v>62</v>
      </c>
      <c r="C66" s="27"/>
      <c r="D66" s="28">
        <v>200.0</v>
      </c>
      <c r="E66" s="28">
        <v>200.0</v>
      </c>
      <c r="F66" s="28">
        <v>200.0</v>
      </c>
      <c r="G66" s="28">
        <v>200.0</v>
      </c>
      <c r="H66" s="28">
        <v>200.0</v>
      </c>
      <c r="I66" s="28">
        <v>200.0</v>
      </c>
      <c r="J66" s="28">
        <v>200.0</v>
      </c>
      <c r="K66" s="28">
        <v>200.0</v>
      </c>
      <c r="L66" s="28">
        <v>200.0</v>
      </c>
      <c r="M66" s="28">
        <v>200.0</v>
      </c>
      <c r="N66" s="28">
        <v>200.0</v>
      </c>
      <c r="O66" s="28">
        <v>0.0</v>
      </c>
      <c r="P66" s="7"/>
      <c r="Q66" s="29">
        <f t="shared" si="19"/>
        <v>2200</v>
      </c>
      <c r="R66" s="7"/>
      <c r="S66" s="7"/>
      <c r="T66" s="7"/>
      <c r="U66" s="7"/>
      <c r="V66" s="7"/>
      <c r="W66" s="7"/>
      <c r="X66" s="7"/>
    </row>
    <row r="67" ht="19.5" customHeight="1">
      <c r="A67" s="7"/>
      <c r="B67" s="31" t="s">
        <v>29</v>
      </c>
      <c r="C67" s="27"/>
      <c r="D67" s="28">
        <v>0.0</v>
      </c>
      <c r="E67" s="28">
        <v>0.0</v>
      </c>
      <c r="F67" s="29">
        <v>0.0</v>
      </c>
      <c r="G67" s="29">
        <v>0.0</v>
      </c>
      <c r="H67" s="29">
        <v>0.0</v>
      </c>
      <c r="I67" s="29">
        <v>0.0</v>
      </c>
      <c r="J67" s="29">
        <v>0.0</v>
      </c>
      <c r="K67" s="29">
        <v>0.0</v>
      </c>
      <c r="L67" s="29">
        <v>0.0</v>
      </c>
      <c r="M67" s="29">
        <v>0.0</v>
      </c>
      <c r="N67" s="29">
        <v>0.0</v>
      </c>
      <c r="O67" s="29">
        <v>0.0</v>
      </c>
      <c r="P67" s="7"/>
      <c r="Q67" s="29">
        <f t="shared" si="19"/>
        <v>0</v>
      </c>
      <c r="R67" s="7"/>
      <c r="S67" s="7"/>
      <c r="T67" s="7"/>
      <c r="U67" s="7"/>
      <c r="V67" s="7"/>
      <c r="W67" s="7"/>
      <c r="X67" s="7"/>
    </row>
    <row r="68" ht="19.5" customHeight="1">
      <c r="A68" s="7"/>
      <c r="B68" s="16" t="s">
        <v>63</v>
      </c>
      <c r="C68" s="17"/>
      <c r="D68" s="18">
        <f t="shared" ref="D68:O68" si="20">SUM(D63:D67)</f>
        <v>2380</v>
      </c>
      <c r="E68" s="18">
        <f t="shared" si="20"/>
        <v>2380</v>
      </c>
      <c r="F68" s="18">
        <f t="shared" si="20"/>
        <v>2380</v>
      </c>
      <c r="G68" s="18">
        <f t="shared" si="20"/>
        <v>2380</v>
      </c>
      <c r="H68" s="18">
        <f t="shared" si="20"/>
        <v>2380</v>
      </c>
      <c r="I68" s="18">
        <f t="shared" si="20"/>
        <v>2380</v>
      </c>
      <c r="J68" s="18">
        <f t="shared" si="20"/>
        <v>2380</v>
      </c>
      <c r="K68" s="18">
        <f t="shared" si="20"/>
        <v>2380</v>
      </c>
      <c r="L68" s="18">
        <f t="shared" si="20"/>
        <v>2380</v>
      </c>
      <c r="M68" s="18">
        <f t="shared" si="20"/>
        <v>2380</v>
      </c>
      <c r="N68" s="18">
        <f t="shared" si="20"/>
        <v>2380</v>
      </c>
      <c r="O68" s="18">
        <f t="shared" si="20"/>
        <v>2180</v>
      </c>
      <c r="P68" s="7"/>
      <c r="Q68" s="18">
        <f>SUM(Q63:Q67)</f>
        <v>28360</v>
      </c>
      <c r="R68" s="7"/>
      <c r="S68" s="7"/>
      <c r="T68" s="7"/>
      <c r="U68" s="7"/>
      <c r="V68" s="7"/>
      <c r="W68" s="7"/>
      <c r="X68" s="7"/>
    </row>
    <row r="69" ht="19.5" customHeight="1">
      <c r="A69" s="7"/>
      <c r="B69" s="47"/>
      <c r="C69" s="48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7"/>
      <c r="Q69" s="44"/>
      <c r="R69" s="7"/>
      <c r="S69" s="7"/>
      <c r="T69" s="7"/>
      <c r="U69" s="7"/>
      <c r="V69" s="7"/>
      <c r="W69" s="7"/>
      <c r="X69" s="7"/>
    </row>
    <row r="70" ht="19.5" customHeight="1">
      <c r="A70" s="7"/>
      <c r="B70" s="45" t="s">
        <v>64</v>
      </c>
      <c r="C70" s="25" t="s">
        <v>6</v>
      </c>
      <c r="D70" s="25" t="s">
        <v>7</v>
      </c>
      <c r="E70" s="25" t="s">
        <v>8</v>
      </c>
      <c r="F70" s="25" t="s">
        <v>9</v>
      </c>
      <c r="G70" s="25" t="s">
        <v>10</v>
      </c>
      <c r="H70" s="25" t="s">
        <v>11</v>
      </c>
      <c r="I70" s="25" t="s">
        <v>12</v>
      </c>
      <c r="J70" s="25" t="s">
        <v>13</v>
      </c>
      <c r="K70" s="25" t="s">
        <v>14</v>
      </c>
      <c r="L70" s="25" t="s">
        <v>15</v>
      </c>
      <c r="M70" s="25" t="s">
        <v>16</v>
      </c>
      <c r="N70" s="25" t="s">
        <v>17</v>
      </c>
      <c r="O70" s="25" t="s">
        <v>18</v>
      </c>
      <c r="P70" s="7"/>
      <c r="Q70" s="25" t="s">
        <v>19</v>
      </c>
      <c r="R70" s="7"/>
      <c r="S70" s="7"/>
      <c r="T70" s="7"/>
      <c r="U70" s="7"/>
      <c r="V70" s="7"/>
      <c r="W70" s="7"/>
      <c r="X70" s="7"/>
    </row>
    <row r="71" ht="19.5" customHeight="1">
      <c r="A71" s="7"/>
      <c r="B71" s="31" t="s">
        <v>65</v>
      </c>
      <c r="C71" s="27"/>
      <c r="D71" s="28">
        <v>375.0</v>
      </c>
      <c r="E71" s="28">
        <v>375.0</v>
      </c>
      <c r="F71" s="28">
        <v>375.0</v>
      </c>
      <c r="G71" s="28">
        <v>850.0</v>
      </c>
      <c r="H71" s="28">
        <v>850.0</v>
      </c>
      <c r="I71" s="28">
        <v>850.0</v>
      </c>
      <c r="J71" s="28">
        <v>850.0</v>
      </c>
      <c r="K71" s="28">
        <v>850.0</v>
      </c>
      <c r="L71" s="28">
        <v>850.0</v>
      </c>
      <c r="M71" s="28">
        <v>850.0</v>
      </c>
      <c r="N71" s="28">
        <v>850.0</v>
      </c>
      <c r="O71" s="28">
        <v>850.0</v>
      </c>
      <c r="P71" s="7"/>
      <c r="Q71" s="29">
        <f t="shared" ref="Q71:Q81" si="21">SUM(D71:O71)</f>
        <v>8775</v>
      </c>
      <c r="R71" s="7"/>
      <c r="S71" s="7"/>
      <c r="T71" s="7"/>
      <c r="U71" s="7"/>
      <c r="V71" s="7"/>
      <c r="W71" s="7"/>
      <c r="X71" s="7"/>
    </row>
    <row r="72" ht="19.5" customHeight="1">
      <c r="A72" s="7"/>
      <c r="B72" s="26" t="s">
        <v>66</v>
      </c>
      <c r="C72" s="27"/>
      <c r="D72" s="28">
        <v>20.0</v>
      </c>
      <c r="E72" s="28">
        <v>20.0</v>
      </c>
      <c r="F72" s="28">
        <v>20.0</v>
      </c>
      <c r="G72" s="28">
        <v>20.0</v>
      </c>
      <c r="H72" s="28">
        <v>20.0</v>
      </c>
      <c r="I72" s="28">
        <v>20.0</v>
      </c>
      <c r="J72" s="28">
        <v>20.0</v>
      </c>
      <c r="K72" s="28">
        <v>20.0</v>
      </c>
      <c r="L72" s="28">
        <v>20.0</v>
      </c>
      <c r="M72" s="28">
        <v>20.0</v>
      </c>
      <c r="N72" s="28">
        <v>20.0</v>
      </c>
      <c r="O72" s="28">
        <v>20.0</v>
      </c>
      <c r="P72" s="7"/>
      <c r="Q72" s="29">
        <f t="shared" si="21"/>
        <v>240</v>
      </c>
      <c r="R72" s="7"/>
      <c r="S72" s="7"/>
      <c r="T72" s="7"/>
      <c r="U72" s="7"/>
      <c r="V72" s="7"/>
      <c r="W72" s="7"/>
      <c r="X72" s="7"/>
    </row>
    <row r="73" ht="19.5" customHeight="1">
      <c r="A73" s="7"/>
      <c r="B73" s="26" t="s">
        <v>67</v>
      </c>
      <c r="C73" s="27"/>
      <c r="D73" s="28">
        <v>12.5</v>
      </c>
      <c r="E73" s="28">
        <v>12.5</v>
      </c>
      <c r="F73" s="28">
        <v>12.5</v>
      </c>
      <c r="G73" s="28">
        <v>12.5</v>
      </c>
      <c r="H73" s="28">
        <v>12.5</v>
      </c>
      <c r="I73" s="28">
        <v>12.5</v>
      </c>
      <c r="J73" s="28">
        <v>12.5</v>
      </c>
      <c r="K73" s="28">
        <v>12.5</v>
      </c>
      <c r="L73" s="28">
        <v>12.5</v>
      </c>
      <c r="M73" s="28">
        <v>12.5</v>
      </c>
      <c r="N73" s="28">
        <v>12.5</v>
      </c>
      <c r="O73" s="28">
        <v>12.5</v>
      </c>
      <c r="P73" s="7"/>
      <c r="Q73" s="29">
        <f t="shared" si="21"/>
        <v>150</v>
      </c>
      <c r="R73" s="7"/>
      <c r="S73" s="7"/>
      <c r="T73" s="7"/>
      <c r="U73" s="7"/>
      <c r="V73" s="7"/>
      <c r="W73" s="7"/>
      <c r="X73" s="7"/>
    </row>
    <row r="74" ht="19.5" customHeight="1">
      <c r="A74" s="7"/>
      <c r="B74" s="31" t="s">
        <v>68</v>
      </c>
      <c r="C74" s="27"/>
      <c r="D74" s="28">
        <v>0.0</v>
      </c>
      <c r="E74" s="28">
        <v>100.0</v>
      </c>
      <c r="F74" s="28">
        <v>100.0</v>
      </c>
      <c r="G74" s="28">
        <v>100.0</v>
      </c>
      <c r="H74" s="28">
        <v>100.0</v>
      </c>
      <c r="I74" s="28">
        <v>100.0</v>
      </c>
      <c r="J74" s="28">
        <v>100.0</v>
      </c>
      <c r="K74" s="28">
        <v>100.0</v>
      </c>
      <c r="L74" s="28">
        <v>100.0</v>
      </c>
      <c r="M74" s="28">
        <v>100.0</v>
      </c>
      <c r="N74" s="28">
        <v>100.0</v>
      </c>
      <c r="O74" s="28">
        <v>100.0</v>
      </c>
      <c r="P74" s="7"/>
      <c r="Q74" s="29">
        <f t="shared" si="21"/>
        <v>1100</v>
      </c>
      <c r="R74" s="7"/>
      <c r="S74" s="7"/>
      <c r="T74" s="7"/>
      <c r="U74" s="7"/>
      <c r="V74" s="7"/>
      <c r="W74" s="7"/>
      <c r="X74" s="7"/>
    </row>
    <row r="75" ht="19.5" customHeight="1">
      <c r="A75" s="7"/>
      <c r="B75" s="31" t="s">
        <v>69</v>
      </c>
      <c r="C75" s="27"/>
      <c r="D75" s="28">
        <v>125.0</v>
      </c>
      <c r="E75" s="28">
        <v>80.0</v>
      </c>
      <c r="F75" s="28">
        <v>80.0</v>
      </c>
      <c r="G75" s="28">
        <v>80.0</v>
      </c>
      <c r="H75" s="28">
        <v>80.0</v>
      </c>
      <c r="I75" s="28">
        <v>80.0</v>
      </c>
      <c r="J75" s="28">
        <v>80.0</v>
      </c>
      <c r="K75" s="28">
        <v>80.0</v>
      </c>
      <c r="L75" s="28">
        <v>80.0</v>
      </c>
      <c r="M75" s="28">
        <v>80.0</v>
      </c>
      <c r="N75" s="28">
        <v>80.0</v>
      </c>
      <c r="O75" s="28">
        <v>80.0</v>
      </c>
      <c r="P75" s="7"/>
      <c r="Q75" s="29">
        <f t="shared" si="21"/>
        <v>1005</v>
      </c>
      <c r="R75" s="7"/>
      <c r="S75" s="7"/>
      <c r="T75" s="7"/>
      <c r="U75" s="7"/>
      <c r="V75" s="7"/>
      <c r="W75" s="7"/>
      <c r="X75" s="7"/>
    </row>
    <row r="76" ht="19.5" customHeight="1">
      <c r="A76" s="7"/>
      <c r="B76" s="31" t="s">
        <v>70</v>
      </c>
      <c r="C76" s="27"/>
      <c r="D76" s="28">
        <v>50.0</v>
      </c>
      <c r="E76" s="28">
        <v>50.0</v>
      </c>
      <c r="F76" s="28">
        <v>50.0</v>
      </c>
      <c r="G76" s="28">
        <v>50.0</v>
      </c>
      <c r="H76" s="28">
        <v>50.0</v>
      </c>
      <c r="I76" s="28">
        <v>50.0</v>
      </c>
      <c r="J76" s="28">
        <v>50.0</v>
      </c>
      <c r="K76" s="28">
        <v>50.0</v>
      </c>
      <c r="L76" s="28">
        <v>50.0</v>
      </c>
      <c r="M76" s="28">
        <v>50.0</v>
      </c>
      <c r="N76" s="28">
        <v>50.0</v>
      </c>
      <c r="O76" s="28">
        <v>50.0</v>
      </c>
      <c r="P76" s="7"/>
      <c r="Q76" s="29">
        <f t="shared" si="21"/>
        <v>600</v>
      </c>
      <c r="R76" s="7"/>
      <c r="S76" s="7"/>
      <c r="T76" s="7"/>
      <c r="U76" s="7"/>
      <c r="V76" s="7"/>
      <c r="W76" s="7"/>
      <c r="X76" s="7"/>
    </row>
    <row r="77" ht="19.5" customHeight="1">
      <c r="A77" s="7"/>
      <c r="B77" s="31" t="s">
        <v>71</v>
      </c>
      <c r="C77" s="27"/>
      <c r="D77" s="28">
        <v>20.0</v>
      </c>
      <c r="E77" s="28">
        <v>20.0</v>
      </c>
      <c r="F77" s="28">
        <v>20.0</v>
      </c>
      <c r="G77" s="28">
        <v>20.0</v>
      </c>
      <c r="H77" s="28">
        <v>20.0</v>
      </c>
      <c r="I77" s="28">
        <v>20.0</v>
      </c>
      <c r="J77" s="28">
        <v>20.0</v>
      </c>
      <c r="K77" s="28">
        <v>20.0</v>
      </c>
      <c r="L77" s="28">
        <v>20.0</v>
      </c>
      <c r="M77" s="28">
        <v>20.0</v>
      </c>
      <c r="N77" s="28">
        <v>20.0</v>
      </c>
      <c r="O77" s="28">
        <v>20.0</v>
      </c>
      <c r="P77" s="7"/>
      <c r="Q77" s="29">
        <f t="shared" si="21"/>
        <v>240</v>
      </c>
      <c r="R77" s="7"/>
      <c r="S77" s="7"/>
      <c r="T77" s="7"/>
      <c r="U77" s="7"/>
      <c r="V77" s="7"/>
      <c r="W77" s="7"/>
      <c r="X77" s="7"/>
    </row>
    <row r="78" ht="19.5" customHeight="1">
      <c r="A78" s="7"/>
      <c r="B78" s="31" t="s">
        <v>72</v>
      </c>
      <c r="C78" s="27"/>
      <c r="D78" s="28">
        <v>750.0</v>
      </c>
      <c r="E78" s="29">
        <v>0.0</v>
      </c>
      <c r="F78" s="29">
        <v>0.0</v>
      </c>
      <c r="G78" s="28">
        <v>250.0</v>
      </c>
      <c r="H78" s="29">
        <v>0.0</v>
      </c>
      <c r="I78" s="29">
        <v>0.0</v>
      </c>
      <c r="J78" s="29">
        <v>0.0</v>
      </c>
      <c r="K78" s="28">
        <v>250.0</v>
      </c>
      <c r="L78" s="29">
        <v>0.0</v>
      </c>
      <c r="M78" s="29">
        <v>0.0</v>
      </c>
      <c r="N78" s="28">
        <v>250.0</v>
      </c>
      <c r="O78" s="28">
        <v>250.0</v>
      </c>
      <c r="P78" s="7"/>
      <c r="Q78" s="29">
        <f t="shared" si="21"/>
        <v>1750</v>
      </c>
      <c r="R78" s="7"/>
      <c r="S78" s="7"/>
      <c r="T78" s="7"/>
      <c r="U78" s="7"/>
      <c r="V78" s="7"/>
      <c r="W78" s="7"/>
      <c r="X78" s="7"/>
    </row>
    <row r="79" ht="19.5" customHeight="1">
      <c r="A79" s="7"/>
      <c r="B79" s="26" t="s">
        <v>73</v>
      </c>
      <c r="C79" s="27"/>
      <c r="D79" s="28">
        <v>250.0</v>
      </c>
      <c r="E79" s="28">
        <v>500.0</v>
      </c>
      <c r="F79" s="28">
        <v>500.0</v>
      </c>
      <c r="G79" s="28">
        <v>500.0</v>
      </c>
      <c r="H79" s="28">
        <v>500.0</v>
      </c>
      <c r="I79" s="28">
        <v>500.0</v>
      </c>
      <c r="J79" s="28">
        <v>500.0</v>
      </c>
      <c r="K79" s="28">
        <v>500.0</v>
      </c>
      <c r="L79" s="28">
        <v>500.0</v>
      </c>
      <c r="M79" s="28">
        <v>500.0</v>
      </c>
      <c r="N79" s="28">
        <v>500.0</v>
      </c>
      <c r="O79" s="28">
        <v>500.0</v>
      </c>
      <c r="P79" s="7"/>
      <c r="Q79" s="29">
        <f t="shared" si="21"/>
        <v>5750</v>
      </c>
      <c r="R79" s="7"/>
      <c r="S79" s="7"/>
      <c r="T79" s="7"/>
      <c r="U79" s="7"/>
      <c r="V79" s="7"/>
      <c r="W79" s="7"/>
      <c r="X79" s="7"/>
    </row>
    <row r="80" ht="19.5" customHeight="1">
      <c r="A80" s="7"/>
      <c r="B80" s="26" t="s">
        <v>74</v>
      </c>
      <c r="C80" s="27"/>
      <c r="D80" s="28">
        <v>50.0</v>
      </c>
      <c r="E80" s="28">
        <v>100.0</v>
      </c>
      <c r="F80" s="28">
        <v>100.0</v>
      </c>
      <c r="G80" s="28">
        <v>100.0</v>
      </c>
      <c r="H80" s="28">
        <v>100.0</v>
      </c>
      <c r="I80" s="28">
        <v>100.0</v>
      </c>
      <c r="J80" s="28">
        <v>100.0</v>
      </c>
      <c r="K80" s="28">
        <v>100.0</v>
      </c>
      <c r="L80" s="28">
        <v>100.0</v>
      </c>
      <c r="M80" s="28">
        <v>100.0</v>
      </c>
      <c r="N80" s="28">
        <v>100.0</v>
      </c>
      <c r="O80" s="28">
        <v>100.0</v>
      </c>
      <c r="P80" s="7"/>
      <c r="Q80" s="29">
        <f t="shared" si="21"/>
        <v>1150</v>
      </c>
      <c r="R80" s="7"/>
      <c r="S80" s="7"/>
      <c r="T80" s="7"/>
      <c r="U80" s="7"/>
      <c r="V80" s="7"/>
      <c r="W80" s="7"/>
      <c r="X80" s="7"/>
    </row>
    <row r="81" ht="19.5" customHeight="1">
      <c r="A81" s="7"/>
      <c r="B81" s="31" t="s">
        <v>29</v>
      </c>
      <c r="C81" s="27"/>
      <c r="D81" s="28">
        <f>25+25+400+75</f>
        <v>525</v>
      </c>
      <c r="E81" s="29">
        <v>0.0</v>
      </c>
      <c r="F81" s="29">
        <v>0.0</v>
      </c>
      <c r="G81" s="29">
        <v>0.0</v>
      </c>
      <c r="H81" s="29">
        <v>0.0</v>
      </c>
      <c r="I81" s="29">
        <v>0.0</v>
      </c>
      <c r="J81" s="29">
        <v>0.0</v>
      </c>
      <c r="K81" s="29">
        <v>0.0</v>
      </c>
      <c r="L81" s="29">
        <v>0.0</v>
      </c>
      <c r="M81" s="29">
        <v>0.0</v>
      </c>
      <c r="N81" s="29">
        <v>0.0</v>
      </c>
      <c r="O81" s="29">
        <v>0.0</v>
      </c>
      <c r="P81" s="7"/>
      <c r="Q81" s="29">
        <f t="shared" si="21"/>
        <v>525</v>
      </c>
      <c r="R81" s="7"/>
      <c r="S81" s="7"/>
      <c r="T81" s="7"/>
      <c r="U81" s="7"/>
      <c r="V81" s="7"/>
      <c r="W81" s="7"/>
      <c r="X81" s="7"/>
    </row>
    <row r="82" ht="19.5" customHeight="1">
      <c r="A82" s="7"/>
      <c r="B82" s="16" t="s">
        <v>75</v>
      </c>
      <c r="C82" s="17"/>
      <c r="D82" s="18">
        <f t="shared" ref="D82:O82" si="22">SUM(D71:D81)</f>
        <v>2177.5</v>
      </c>
      <c r="E82" s="18">
        <f t="shared" si="22"/>
        <v>1257.5</v>
      </c>
      <c r="F82" s="18">
        <f t="shared" si="22"/>
        <v>1257.5</v>
      </c>
      <c r="G82" s="18">
        <f t="shared" si="22"/>
        <v>1982.5</v>
      </c>
      <c r="H82" s="18">
        <f t="shared" si="22"/>
        <v>1732.5</v>
      </c>
      <c r="I82" s="18">
        <f t="shared" si="22"/>
        <v>1732.5</v>
      </c>
      <c r="J82" s="18">
        <f t="shared" si="22"/>
        <v>1732.5</v>
      </c>
      <c r="K82" s="18">
        <f t="shared" si="22"/>
        <v>1982.5</v>
      </c>
      <c r="L82" s="18">
        <f t="shared" si="22"/>
        <v>1732.5</v>
      </c>
      <c r="M82" s="18">
        <f t="shared" si="22"/>
        <v>1732.5</v>
      </c>
      <c r="N82" s="18">
        <f t="shared" si="22"/>
        <v>1982.5</v>
      </c>
      <c r="O82" s="18">
        <f t="shared" si="22"/>
        <v>1982.5</v>
      </c>
      <c r="P82" s="7"/>
      <c r="Q82" s="18">
        <f>SUM(Q71:Q81)</f>
        <v>21285</v>
      </c>
      <c r="R82" s="7"/>
      <c r="S82" s="7"/>
      <c r="T82" s="7"/>
      <c r="U82" s="7"/>
      <c r="V82" s="7"/>
      <c r="W82" s="7"/>
      <c r="X82" s="7"/>
    </row>
    <row r="83" ht="19.5" customHeight="1">
      <c r="A83" s="7"/>
      <c r="B83" s="44"/>
      <c r="C83" s="7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7"/>
      <c r="Q83" s="44"/>
      <c r="R83" s="7"/>
      <c r="S83" s="7"/>
      <c r="T83" s="7"/>
      <c r="U83" s="7"/>
      <c r="V83" s="7"/>
      <c r="W83" s="7"/>
      <c r="X83" s="7"/>
    </row>
    <row r="84" ht="19.5" customHeight="1">
      <c r="A84" s="7"/>
      <c r="B84" s="45" t="s">
        <v>76</v>
      </c>
      <c r="C84" s="25" t="s">
        <v>6</v>
      </c>
      <c r="D84" s="25" t="s">
        <v>7</v>
      </c>
      <c r="E84" s="25" t="s">
        <v>8</v>
      </c>
      <c r="F84" s="25" t="s">
        <v>9</v>
      </c>
      <c r="G84" s="25" t="s">
        <v>10</v>
      </c>
      <c r="H84" s="25" t="s">
        <v>11</v>
      </c>
      <c r="I84" s="25" t="s">
        <v>12</v>
      </c>
      <c r="J84" s="25" t="s">
        <v>13</v>
      </c>
      <c r="K84" s="25" t="s">
        <v>14</v>
      </c>
      <c r="L84" s="25" t="s">
        <v>15</v>
      </c>
      <c r="M84" s="25" t="s">
        <v>16</v>
      </c>
      <c r="N84" s="25" t="s">
        <v>17</v>
      </c>
      <c r="O84" s="25" t="s">
        <v>18</v>
      </c>
      <c r="P84" s="7"/>
      <c r="Q84" s="25" t="s">
        <v>19</v>
      </c>
      <c r="R84" s="7"/>
      <c r="S84" s="7"/>
      <c r="T84" s="7"/>
      <c r="U84" s="7"/>
      <c r="V84" s="7"/>
      <c r="W84" s="7"/>
      <c r="X84" s="7"/>
    </row>
    <row r="85" ht="19.5" customHeight="1">
      <c r="A85" s="7"/>
      <c r="B85" s="31" t="s">
        <v>77</v>
      </c>
      <c r="C85" s="27"/>
      <c r="D85" s="28">
        <v>200.0</v>
      </c>
      <c r="E85" s="28">
        <v>200.0</v>
      </c>
      <c r="F85" s="28">
        <v>100.0</v>
      </c>
      <c r="G85" s="28">
        <v>100.0</v>
      </c>
      <c r="H85" s="28">
        <v>100.0</v>
      </c>
      <c r="I85" s="28">
        <v>100.0</v>
      </c>
      <c r="J85" s="28">
        <v>100.0</v>
      </c>
      <c r="K85" s="28">
        <v>100.0</v>
      </c>
      <c r="L85" s="28">
        <v>100.0</v>
      </c>
      <c r="M85" s="28">
        <v>100.0</v>
      </c>
      <c r="N85" s="28">
        <v>100.0</v>
      </c>
      <c r="O85" s="28">
        <v>100.0</v>
      </c>
      <c r="P85" s="7"/>
      <c r="Q85" s="29">
        <f t="shared" ref="Q85:Q89" si="23">SUM(D85:O85)</f>
        <v>1400</v>
      </c>
      <c r="R85" s="7"/>
      <c r="S85" s="7"/>
      <c r="T85" s="7"/>
      <c r="U85" s="7"/>
      <c r="V85" s="7"/>
      <c r="W85" s="7"/>
      <c r="X85" s="7"/>
    </row>
    <row r="86" ht="19.5" customHeight="1">
      <c r="A86" s="7"/>
      <c r="B86" s="31" t="s">
        <v>78</v>
      </c>
      <c r="C86" s="27"/>
      <c r="D86" s="28">
        <v>0.0</v>
      </c>
      <c r="E86" s="28">
        <v>50.0</v>
      </c>
      <c r="F86" s="28">
        <v>50.0</v>
      </c>
      <c r="G86" s="28">
        <v>50.0</v>
      </c>
      <c r="H86" s="28">
        <v>50.0</v>
      </c>
      <c r="I86" s="28">
        <v>50.0</v>
      </c>
      <c r="J86" s="28">
        <v>50.0</v>
      </c>
      <c r="K86" s="28">
        <v>50.0</v>
      </c>
      <c r="L86" s="28">
        <v>50.0</v>
      </c>
      <c r="M86" s="28">
        <v>50.0</v>
      </c>
      <c r="N86" s="28">
        <v>50.0</v>
      </c>
      <c r="O86" s="28">
        <v>50.0</v>
      </c>
      <c r="P86" s="7"/>
      <c r="Q86" s="29">
        <f t="shared" si="23"/>
        <v>550</v>
      </c>
      <c r="R86" s="7"/>
      <c r="S86" s="7"/>
      <c r="T86" s="7"/>
      <c r="U86" s="7"/>
      <c r="V86" s="7"/>
      <c r="W86" s="7"/>
      <c r="X86" s="7"/>
    </row>
    <row r="87" ht="19.5" customHeight="1">
      <c r="A87" s="7"/>
      <c r="B87" s="31" t="s">
        <v>79</v>
      </c>
      <c r="C87" s="27"/>
      <c r="D87" s="28">
        <v>10.0</v>
      </c>
      <c r="E87" s="29">
        <v>0.0</v>
      </c>
      <c r="F87" s="29">
        <v>0.0</v>
      </c>
      <c r="G87" s="29">
        <v>0.0</v>
      </c>
      <c r="H87" s="29">
        <v>0.0</v>
      </c>
      <c r="I87" s="29">
        <v>0.0</v>
      </c>
      <c r="J87" s="29">
        <v>0.0</v>
      </c>
      <c r="K87" s="29">
        <v>0.0</v>
      </c>
      <c r="L87" s="29">
        <v>0.0</v>
      </c>
      <c r="M87" s="29">
        <v>0.0</v>
      </c>
      <c r="N87" s="29">
        <v>0.0</v>
      </c>
      <c r="O87" s="28">
        <v>50.0</v>
      </c>
      <c r="P87" s="7"/>
      <c r="Q87" s="29">
        <f t="shared" si="23"/>
        <v>60</v>
      </c>
      <c r="R87" s="7"/>
      <c r="S87" s="7"/>
      <c r="T87" s="7"/>
      <c r="U87" s="7"/>
      <c r="V87" s="7"/>
      <c r="W87" s="7"/>
      <c r="X87" s="7"/>
    </row>
    <row r="88" ht="19.5" customHeight="1">
      <c r="A88" s="7"/>
      <c r="B88" s="31" t="s">
        <v>80</v>
      </c>
      <c r="C88" s="27"/>
      <c r="D88" s="28">
        <v>50.0</v>
      </c>
      <c r="E88" s="28">
        <v>80.0</v>
      </c>
      <c r="F88" s="28">
        <v>80.0</v>
      </c>
      <c r="G88" s="28">
        <v>80.0</v>
      </c>
      <c r="H88" s="28">
        <v>80.0</v>
      </c>
      <c r="I88" s="28">
        <v>80.0</v>
      </c>
      <c r="J88" s="28">
        <v>80.0</v>
      </c>
      <c r="K88" s="28">
        <v>80.0</v>
      </c>
      <c r="L88" s="28">
        <v>80.0</v>
      </c>
      <c r="M88" s="28">
        <v>80.0</v>
      </c>
      <c r="N88" s="28">
        <v>80.0</v>
      </c>
      <c r="O88" s="28">
        <v>80.0</v>
      </c>
      <c r="P88" s="7"/>
      <c r="Q88" s="29">
        <f t="shared" si="23"/>
        <v>930</v>
      </c>
      <c r="R88" s="7"/>
      <c r="S88" s="7"/>
      <c r="T88" s="7"/>
      <c r="U88" s="7"/>
      <c r="V88" s="7"/>
      <c r="W88" s="7"/>
      <c r="X88" s="7"/>
    </row>
    <row r="89" ht="19.5" customHeight="1">
      <c r="A89" s="7"/>
      <c r="B89" s="31" t="s">
        <v>29</v>
      </c>
      <c r="C89" s="27"/>
      <c r="D89" s="28"/>
      <c r="E89" s="29">
        <v>0.0</v>
      </c>
      <c r="F89" s="29">
        <v>0.0</v>
      </c>
      <c r="G89" s="29">
        <v>0.0</v>
      </c>
      <c r="H89" s="29">
        <v>0.0</v>
      </c>
      <c r="I89" s="29">
        <v>0.0</v>
      </c>
      <c r="J89" s="29">
        <v>0.0</v>
      </c>
      <c r="K89" s="29">
        <v>0.0</v>
      </c>
      <c r="L89" s="29">
        <v>0.0</v>
      </c>
      <c r="M89" s="29">
        <v>0.0</v>
      </c>
      <c r="N89" s="29">
        <v>0.0</v>
      </c>
      <c r="O89" s="29">
        <v>0.0</v>
      </c>
      <c r="P89" s="7"/>
      <c r="Q89" s="29">
        <f t="shared" si="23"/>
        <v>0</v>
      </c>
      <c r="R89" s="7"/>
      <c r="S89" s="7"/>
      <c r="T89" s="7"/>
      <c r="U89" s="7"/>
      <c r="V89" s="7"/>
      <c r="W89" s="7"/>
      <c r="X89" s="7"/>
    </row>
    <row r="90" ht="19.5" customHeight="1">
      <c r="A90" s="7"/>
      <c r="B90" s="16" t="s">
        <v>81</v>
      </c>
      <c r="C90" s="17"/>
      <c r="D90" s="18">
        <f t="shared" ref="D90:O90" si="24">SUM(D85:D89)</f>
        <v>260</v>
      </c>
      <c r="E90" s="18">
        <f t="shared" si="24"/>
        <v>330</v>
      </c>
      <c r="F90" s="18">
        <f t="shared" si="24"/>
        <v>230</v>
      </c>
      <c r="G90" s="18">
        <f t="shared" si="24"/>
        <v>230</v>
      </c>
      <c r="H90" s="18">
        <f t="shared" si="24"/>
        <v>230</v>
      </c>
      <c r="I90" s="18">
        <f t="shared" si="24"/>
        <v>230</v>
      </c>
      <c r="J90" s="18">
        <f t="shared" si="24"/>
        <v>230</v>
      </c>
      <c r="K90" s="18">
        <f t="shared" si="24"/>
        <v>230</v>
      </c>
      <c r="L90" s="18">
        <f t="shared" si="24"/>
        <v>230</v>
      </c>
      <c r="M90" s="18">
        <f t="shared" si="24"/>
        <v>230</v>
      </c>
      <c r="N90" s="18">
        <f t="shared" si="24"/>
        <v>230</v>
      </c>
      <c r="O90" s="18">
        <f t="shared" si="24"/>
        <v>280</v>
      </c>
      <c r="P90" s="7"/>
      <c r="Q90" s="18">
        <f>SUM(Q85:Q89)</f>
        <v>2940</v>
      </c>
      <c r="R90" s="7"/>
      <c r="S90" s="7"/>
      <c r="T90" s="7"/>
      <c r="U90" s="7"/>
      <c r="V90" s="7"/>
      <c r="W90" s="7"/>
      <c r="X90" s="7"/>
    </row>
    <row r="91" ht="19.5" customHeight="1">
      <c r="A91" s="7"/>
      <c r="B91" s="44"/>
      <c r="C91" s="7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7"/>
      <c r="Q91" s="44"/>
      <c r="R91" s="7"/>
      <c r="S91" s="7"/>
      <c r="T91" s="7"/>
      <c r="U91" s="7"/>
      <c r="V91" s="7"/>
      <c r="W91" s="7"/>
      <c r="X91" s="7"/>
    </row>
    <row r="92" ht="31.5" customHeight="1">
      <c r="A92" s="7"/>
      <c r="B92" s="49" t="s">
        <v>82</v>
      </c>
      <c r="C92" s="25" t="s">
        <v>6</v>
      </c>
      <c r="D92" s="25" t="s">
        <v>7</v>
      </c>
      <c r="E92" s="25" t="s">
        <v>8</v>
      </c>
      <c r="F92" s="25" t="s">
        <v>9</v>
      </c>
      <c r="G92" s="25" t="s">
        <v>10</v>
      </c>
      <c r="H92" s="25" t="s">
        <v>11</v>
      </c>
      <c r="I92" s="25" t="s">
        <v>12</v>
      </c>
      <c r="J92" s="25" t="s">
        <v>13</v>
      </c>
      <c r="K92" s="25" t="s">
        <v>14</v>
      </c>
      <c r="L92" s="25" t="s">
        <v>15</v>
      </c>
      <c r="M92" s="25" t="s">
        <v>16</v>
      </c>
      <c r="N92" s="25" t="s">
        <v>17</v>
      </c>
      <c r="O92" s="25" t="s">
        <v>18</v>
      </c>
      <c r="P92" s="7"/>
      <c r="Q92" s="25" t="s">
        <v>19</v>
      </c>
      <c r="R92" s="7"/>
      <c r="S92" s="7"/>
      <c r="T92" s="7"/>
      <c r="U92" s="7"/>
      <c r="V92" s="7"/>
      <c r="W92" s="7"/>
      <c r="X92" s="7"/>
    </row>
    <row r="93" ht="19.5" customHeight="1">
      <c r="A93" s="36">
        <v>0.24</v>
      </c>
      <c r="B93" s="26" t="s">
        <v>83</v>
      </c>
      <c r="C93" s="27"/>
      <c r="D93" s="29">
        <f>1143+745+1143</f>
        <v>3031</v>
      </c>
      <c r="E93" s="29">
        <f t="shared" ref="E93:O93" si="25">sum(E14,E15)*$A$93</f>
        <v>3019.9992</v>
      </c>
      <c r="F93" s="29">
        <f t="shared" si="25"/>
        <v>2599.9992</v>
      </c>
      <c r="G93" s="29">
        <f t="shared" si="25"/>
        <v>2599.9992</v>
      </c>
      <c r="H93" s="29">
        <f t="shared" si="25"/>
        <v>2599.9992</v>
      </c>
      <c r="I93" s="29">
        <f t="shared" si="25"/>
        <v>2599.9992</v>
      </c>
      <c r="J93" s="29">
        <f t="shared" si="25"/>
        <v>2599.9992</v>
      </c>
      <c r="K93" s="29">
        <f t="shared" si="25"/>
        <v>2599.9992</v>
      </c>
      <c r="L93" s="29">
        <f t="shared" si="25"/>
        <v>2599.9992</v>
      </c>
      <c r="M93" s="29">
        <f t="shared" si="25"/>
        <v>2599.9992</v>
      </c>
      <c r="N93" s="29">
        <f t="shared" si="25"/>
        <v>2599.9992</v>
      </c>
      <c r="O93" s="29">
        <f t="shared" si="25"/>
        <v>3319.9992</v>
      </c>
      <c r="P93" s="7"/>
      <c r="Q93" s="29">
        <f t="shared" ref="Q93:Q94" si="26">SUM(D93:O93)</f>
        <v>32770.9912</v>
      </c>
      <c r="R93" s="7"/>
      <c r="S93" s="7"/>
      <c r="T93" s="7"/>
      <c r="U93" s="7"/>
      <c r="V93" s="7"/>
      <c r="W93" s="7"/>
      <c r="X93" s="7"/>
    </row>
    <row r="94" ht="19.5" customHeight="1">
      <c r="A94" s="7"/>
      <c r="B94" s="31" t="s">
        <v>29</v>
      </c>
      <c r="C94" s="27"/>
      <c r="D94" s="29">
        <v>0.0</v>
      </c>
      <c r="E94" s="29">
        <v>0.0</v>
      </c>
      <c r="F94" s="29">
        <v>0.0</v>
      </c>
      <c r="G94" s="29">
        <v>0.0</v>
      </c>
      <c r="H94" s="29">
        <v>0.0</v>
      </c>
      <c r="I94" s="29">
        <v>0.0</v>
      </c>
      <c r="J94" s="29">
        <v>0.0</v>
      </c>
      <c r="K94" s="29">
        <v>0.0</v>
      </c>
      <c r="L94" s="29">
        <v>0.0</v>
      </c>
      <c r="M94" s="29">
        <v>0.0</v>
      </c>
      <c r="N94" s="29">
        <v>0.0</v>
      </c>
      <c r="O94" s="29">
        <v>0.0</v>
      </c>
      <c r="P94" s="7"/>
      <c r="Q94" s="29">
        <f t="shared" si="26"/>
        <v>0</v>
      </c>
      <c r="R94" s="7"/>
      <c r="S94" s="7"/>
      <c r="T94" s="7"/>
      <c r="U94" s="7"/>
      <c r="V94" s="7"/>
      <c r="W94" s="7"/>
      <c r="X94" s="7"/>
    </row>
    <row r="95" ht="19.5" customHeight="1">
      <c r="A95" s="7"/>
      <c r="B95" s="16" t="s">
        <v>84</v>
      </c>
      <c r="C95" s="17"/>
      <c r="D95" s="18">
        <f t="shared" ref="D95:O95" si="27">SUM(D93:D94)</f>
        <v>3031</v>
      </c>
      <c r="E95" s="18">
        <f t="shared" si="27"/>
        <v>3019.9992</v>
      </c>
      <c r="F95" s="18">
        <f t="shared" si="27"/>
        <v>2599.9992</v>
      </c>
      <c r="G95" s="18">
        <f t="shared" si="27"/>
        <v>2599.9992</v>
      </c>
      <c r="H95" s="18">
        <f t="shared" si="27"/>
        <v>2599.9992</v>
      </c>
      <c r="I95" s="18">
        <f t="shared" si="27"/>
        <v>2599.9992</v>
      </c>
      <c r="J95" s="18">
        <f t="shared" si="27"/>
        <v>2599.9992</v>
      </c>
      <c r="K95" s="18">
        <f t="shared" si="27"/>
        <v>2599.9992</v>
      </c>
      <c r="L95" s="18">
        <f t="shared" si="27"/>
        <v>2599.9992</v>
      </c>
      <c r="M95" s="18">
        <f t="shared" si="27"/>
        <v>2599.9992</v>
      </c>
      <c r="N95" s="18">
        <f t="shared" si="27"/>
        <v>2599.9992</v>
      </c>
      <c r="O95" s="18">
        <f t="shared" si="27"/>
        <v>3319.9992</v>
      </c>
      <c r="P95" s="7"/>
      <c r="Q95" s="18">
        <f>SUM(Q93:Q94)</f>
        <v>32770.9912</v>
      </c>
      <c r="R95" s="7"/>
      <c r="S95" s="7"/>
      <c r="T95" s="7"/>
      <c r="U95" s="7"/>
      <c r="V95" s="7"/>
      <c r="W95" s="7"/>
      <c r="X95" s="7"/>
    </row>
    <row r="96" ht="19.5" customHeight="1">
      <c r="A96" s="7"/>
      <c r="B96" s="44"/>
      <c r="C96" s="7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7"/>
      <c r="Q96" s="44"/>
      <c r="R96" s="7"/>
      <c r="S96" s="7"/>
      <c r="T96" s="7"/>
      <c r="U96" s="7"/>
      <c r="V96" s="7"/>
      <c r="W96" s="7"/>
      <c r="X96" s="7"/>
    </row>
    <row r="97" ht="19.5" customHeight="1">
      <c r="A97" s="7"/>
      <c r="B97" s="16" t="s">
        <v>21</v>
      </c>
      <c r="C97" s="17"/>
      <c r="D97" s="18">
        <f t="shared" ref="D97:O97" si="28">SUM(D52,D60,D68,D82,D90,D95)</f>
        <v>7848.5</v>
      </c>
      <c r="E97" s="18">
        <f t="shared" si="28"/>
        <v>6987.4992</v>
      </c>
      <c r="F97" s="18">
        <f t="shared" si="28"/>
        <v>6467.4992</v>
      </c>
      <c r="G97" s="18">
        <f t="shared" si="28"/>
        <v>7192.4992</v>
      </c>
      <c r="H97" s="18">
        <f t="shared" si="28"/>
        <v>6942.4992</v>
      </c>
      <c r="I97" s="18">
        <f t="shared" si="28"/>
        <v>6942.4992</v>
      </c>
      <c r="J97" s="18">
        <f t="shared" si="28"/>
        <v>6942.4992</v>
      </c>
      <c r="K97" s="18">
        <f t="shared" si="28"/>
        <v>7192.4992</v>
      </c>
      <c r="L97" s="18">
        <f t="shared" si="28"/>
        <v>6942.4992</v>
      </c>
      <c r="M97" s="18">
        <f t="shared" si="28"/>
        <v>6942.4992</v>
      </c>
      <c r="N97" s="18">
        <f t="shared" si="28"/>
        <v>7192.4992</v>
      </c>
      <c r="O97" s="18">
        <f t="shared" si="28"/>
        <v>7762.4992</v>
      </c>
      <c r="P97" s="7"/>
      <c r="Q97" s="18">
        <f>SUM(Q52,Q60,Q68,Q82,Q90,Q95)</f>
        <v>85355.9912</v>
      </c>
      <c r="R97" s="7"/>
      <c r="S97" s="7"/>
      <c r="T97" s="7"/>
      <c r="U97" s="7"/>
      <c r="V97" s="7"/>
      <c r="W97" s="7"/>
      <c r="X97" s="7"/>
    </row>
    <row r="98" ht="19.5" customHeight="1">
      <c r="A98" s="7"/>
      <c r="B98" s="50"/>
      <c r="C98" s="7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7"/>
      <c r="Q98" s="42"/>
      <c r="R98" s="7"/>
      <c r="S98" s="7"/>
      <c r="T98" s="7"/>
      <c r="U98" s="7"/>
      <c r="V98" s="7"/>
      <c r="W98" s="7"/>
      <c r="X98" s="7"/>
    </row>
    <row r="99" ht="49.5" customHeight="1">
      <c r="A99" s="43"/>
      <c r="B99" s="51" t="s">
        <v>85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3"/>
      <c r="R99" s="43"/>
      <c r="S99" s="43"/>
      <c r="T99" s="43"/>
      <c r="U99" s="43"/>
      <c r="V99" s="43"/>
      <c r="W99" s="43"/>
      <c r="X99" s="43"/>
      <c r="Y99" s="43"/>
      <c r="Z99" s="43"/>
    </row>
    <row r="100" ht="15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5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5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30.0" customHeight="1">
      <c r="A103" s="54"/>
      <c r="B103" s="55" t="s">
        <v>86</v>
      </c>
      <c r="C103" s="56" t="s">
        <v>87</v>
      </c>
      <c r="D103" s="57" t="s">
        <v>7</v>
      </c>
      <c r="E103" s="57" t="s">
        <v>8</v>
      </c>
      <c r="F103" s="57" t="s">
        <v>9</v>
      </c>
      <c r="G103" s="57" t="s">
        <v>10</v>
      </c>
      <c r="H103" s="57" t="s">
        <v>11</v>
      </c>
      <c r="I103" s="57" t="s">
        <v>12</v>
      </c>
      <c r="J103" s="57" t="s">
        <v>13</v>
      </c>
      <c r="K103" s="57" t="s">
        <v>14</v>
      </c>
      <c r="L103" s="57" t="s">
        <v>15</v>
      </c>
      <c r="M103" s="57" t="s">
        <v>16</v>
      </c>
      <c r="N103" s="57" t="s">
        <v>17</v>
      </c>
      <c r="O103" s="57" t="s">
        <v>18</v>
      </c>
      <c r="P103" s="58"/>
      <c r="Q103" s="59" t="s">
        <v>88</v>
      </c>
      <c r="R103" s="54"/>
      <c r="S103" s="54"/>
      <c r="T103" s="54"/>
      <c r="U103" s="54"/>
      <c r="V103" s="54"/>
      <c r="W103" s="54"/>
      <c r="X103" s="54"/>
      <c r="Y103" s="60"/>
      <c r="Z103" s="60"/>
    </row>
    <row r="104" ht="19.5" customHeight="1">
      <c r="A104" s="7"/>
      <c r="B104" s="61" t="s">
        <v>89</v>
      </c>
      <c r="C104" s="62">
        <v>57000.0</v>
      </c>
      <c r="D104" s="63">
        <f>C104-D63-D67</f>
        <v>55655</v>
      </c>
      <c r="E104" s="63">
        <f t="shared" ref="E104:O104" si="29">D104-E63</f>
        <v>54310</v>
      </c>
      <c r="F104" s="63">
        <f t="shared" si="29"/>
        <v>52965</v>
      </c>
      <c r="G104" s="63">
        <f t="shared" si="29"/>
        <v>51620</v>
      </c>
      <c r="H104" s="63">
        <f t="shared" si="29"/>
        <v>50275</v>
      </c>
      <c r="I104" s="63">
        <f t="shared" si="29"/>
        <v>48930</v>
      </c>
      <c r="J104" s="63">
        <f t="shared" si="29"/>
        <v>47585</v>
      </c>
      <c r="K104" s="63">
        <f t="shared" si="29"/>
        <v>46240</v>
      </c>
      <c r="L104" s="63">
        <f t="shared" si="29"/>
        <v>44895</v>
      </c>
      <c r="M104" s="63">
        <f t="shared" si="29"/>
        <v>43550</v>
      </c>
      <c r="N104" s="63">
        <f t="shared" si="29"/>
        <v>42205</v>
      </c>
      <c r="O104" s="63">
        <f t="shared" si="29"/>
        <v>40860</v>
      </c>
      <c r="P104" s="64"/>
      <c r="Q104" s="65">
        <f t="shared" ref="Q104:Q105" si="31">Q63</f>
        <v>16140</v>
      </c>
      <c r="R104" s="66"/>
      <c r="S104" s="7"/>
      <c r="T104" s="7"/>
      <c r="U104" s="7"/>
      <c r="V104" s="7"/>
      <c r="W104" s="7"/>
      <c r="X104" s="7"/>
    </row>
    <row r="105" ht="19.5" customHeight="1">
      <c r="A105" s="7"/>
      <c r="B105" s="26" t="s">
        <v>61</v>
      </c>
      <c r="C105" s="62">
        <v>8500.0</v>
      </c>
      <c r="D105" s="63">
        <f t="shared" ref="D105:O105" si="30">C105-D65</f>
        <v>8100</v>
      </c>
      <c r="E105" s="63">
        <f t="shared" si="30"/>
        <v>7700</v>
      </c>
      <c r="F105" s="63">
        <f t="shared" si="30"/>
        <v>7300</v>
      </c>
      <c r="G105" s="63">
        <f t="shared" si="30"/>
        <v>6900</v>
      </c>
      <c r="H105" s="63">
        <f t="shared" si="30"/>
        <v>6500</v>
      </c>
      <c r="I105" s="63">
        <f t="shared" si="30"/>
        <v>6100</v>
      </c>
      <c r="J105" s="63">
        <f t="shared" si="30"/>
        <v>5700</v>
      </c>
      <c r="K105" s="63">
        <f t="shared" si="30"/>
        <v>5300</v>
      </c>
      <c r="L105" s="63">
        <f t="shared" si="30"/>
        <v>4900</v>
      </c>
      <c r="M105" s="63">
        <f t="shared" si="30"/>
        <v>4500</v>
      </c>
      <c r="N105" s="63">
        <f t="shared" si="30"/>
        <v>4100</v>
      </c>
      <c r="O105" s="63">
        <f t="shared" si="30"/>
        <v>3700</v>
      </c>
      <c r="P105" s="64"/>
      <c r="Q105" s="65">
        <f t="shared" si="31"/>
        <v>5220</v>
      </c>
      <c r="R105" s="66"/>
      <c r="S105" s="7"/>
      <c r="T105" s="7"/>
      <c r="U105" s="7"/>
      <c r="V105" s="7"/>
      <c r="W105" s="7"/>
      <c r="X105" s="7"/>
    </row>
    <row r="106" ht="19.5" customHeight="1">
      <c r="A106" s="7"/>
      <c r="B106" s="26" t="s">
        <v>62</v>
      </c>
      <c r="C106" s="62">
        <v>2200.0</v>
      </c>
      <c r="D106" s="63">
        <f t="shared" ref="D106:O106" si="32">C106-D66</f>
        <v>2000</v>
      </c>
      <c r="E106" s="63">
        <f t="shared" si="32"/>
        <v>1800</v>
      </c>
      <c r="F106" s="63">
        <f t="shared" si="32"/>
        <v>1600</v>
      </c>
      <c r="G106" s="63">
        <f t="shared" si="32"/>
        <v>1400</v>
      </c>
      <c r="H106" s="63">
        <f t="shared" si="32"/>
        <v>1200</v>
      </c>
      <c r="I106" s="63">
        <f t="shared" si="32"/>
        <v>1000</v>
      </c>
      <c r="J106" s="63">
        <f t="shared" si="32"/>
        <v>800</v>
      </c>
      <c r="K106" s="63">
        <f t="shared" si="32"/>
        <v>600</v>
      </c>
      <c r="L106" s="63">
        <f t="shared" si="32"/>
        <v>400</v>
      </c>
      <c r="M106" s="63">
        <f t="shared" si="32"/>
        <v>200</v>
      </c>
      <c r="N106" s="63">
        <f t="shared" si="32"/>
        <v>0</v>
      </c>
      <c r="O106" s="63">
        <f t="shared" si="32"/>
        <v>0</v>
      </c>
      <c r="P106" s="64"/>
      <c r="Q106" s="65">
        <f>Q66</f>
        <v>2200</v>
      </c>
      <c r="R106" s="66"/>
      <c r="S106" s="7"/>
      <c r="T106" s="7"/>
      <c r="U106" s="7"/>
      <c r="V106" s="7"/>
      <c r="W106" s="7"/>
      <c r="X106" s="7"/>
    </row>
    <row r="107" ht="19.5" customHeight="1">
      <c r="A107" s="7"/>
      <c r="B107" s="67"/>
      <c r="C107" s="68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70"/>
      <c r="Q107" s="71"/>
      <c r="R107" s="7"/>
      <c r="S107" s="7"/>
      <c r="T107" s="7"/>
      <c r="U107" s="7"/>
      <c r="V107" s="7"/>
      <c r="W107" s="7"/>
      <c r="X107" s="7"/>
    </row>
    <row r="108" ht="19.5" customHeight="1">
      <c r="A108" s="7"/>
      <c r="B108" s="72" t="s">
        <v>90</v>
      </c>
      <c r="C108" s="73">
        <f t="shared" ref="C108:O108" si="33">sum(C104:C106)</f>
        <v>67700</v>
      </c>
      <c r="D108" s="73">
        <f t="shared" si="33"/>
        <v>65755</v>
      </c>
      <c r="E108" s="73">
        <f t="shared" si="33"/>
        <v>63810</v>
      </c>
      <c r="F108" s="73">
        <f t="shared" si="33"/>
        <v>61865</v>
      </c>
      <c r="G108" s="73">
        <f t="shared" si="33"/>
        <v>59920</v>
      </c>
      <c r="H108" s="73">
        <f t="shared" si="33"/>
        <v>57975</v>
      </c>
      <c r="I108" s="73">
        <f t="shared" si="33"/>
        <v>56030</v>
      </c>
      <c r="J108" s="73">
        <f t="shared" si="33"/>
        <v>54085</v>
      </c>
      <c r="K108" s="73">
        <f t="shared" si="33"/>
        <v>52140</v>
      </c>
      <c r="L108" s="73">
        <f t="shared" si="33"/>
        <v>50195</v>
      </c>
      <c r="M108" s="73">
        <f t="shared" si="33"/>
        <v>48250</v>
      </c>
      <c r="N108" s="73">
        <f t="shared" si="33"/>
        <v>46305</v>
      </c>
      <c r="O108" s="73">
        <f t="shared" si="33"/>
        <v>44560</v>
      </c>
      <c r="P108" s="74"/>
      <c r="Q108" s="75">
        <f>SUM(Q104:Q106)</f>
        <v>23560</v>
      </c>
      <c r="R108" s="66"/>
      <c r="S108" s="7"/>
      <c r="T108" s="7"/>
      <c r="U108" s="7"/>
      <c r="V108" s="7"/>
      <c r="W108" s="7"/>
      <c r="X108" s="7"/>
    </row>
    <row r="109" ht="19.5" customHeight="1">
      <c r="A109" s="7"/>
      <c r="B109" s="76"/>
      <c r="C109" s="68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7"/>
      <c r="Q109" s="71"/>
      <c r="R109" s="7"/>
      <c r="S109" s="7"/>
      <c r="T109" s="7"/>
      <c r="U109" s="7"/>
      <c r="V109" s="7"/>
      <c r="W109" s="7"/>
      <c r="X109" s="7"/>
    </row>
    <row r="110" ht="19.5" customHeight="1">
      <c r="A110" s="78">
        <v>6700.0</v>
      </c>
      <c r="B110" s="79" t="s">
        <v>107</v>
      </c>
      <c r="C110" s="73">
        <f t="shared" ref="C110:O110" si="34">C108-$A$110</f>
        <v>61000</v>
      </c>
      <c r="D110" s="73">
        <f t="shared" si="34"/>
        <v>59055</v>
      </c>
      <c r="E110" s="73">
        <f t="shared" si="34"/>
        <v>57110</v>
      </c>
      <c r="F110" s="73">
        <f t="shared" si="34"/>
        <v>55165</v>
      </c>
      <c r="G110" s="73">
        <f t="shared" si="34"/>
        <v>53220</v>
      </c>
      <c r="H110" s="73">
        <f t="shared" si="34"/>
        <v>51275</v>
      </c>
      <c r="I110" s="73">
        <f t="shared" si="34"/>
        <v>49330</v>
      </c>
      <c r="J110" s="73">
        <f t="shared" si="34"/>
        <v>47385</v>
      </c>
      <c r="K110" s="73">
        <f t="shared" si="34"/>
        <v>45440</v>
      </c>
      <c r="L110" s="73">
        <f t="shared" si="34"/>
        <v>43495</v>
      </c>
      <c r="M110" s="73">
        <f t="shared" si="34"/>
        <v>41550</v>
      </c>
      <c r="N110" s="73">
        <f t="shared" si="34"/>
        <v>39605</v>
      </c>
      <c r="O110" s="73">
        <f t="shared" si="34"/>
        <v>37860</v>
      </c>
      <c r="P110" s="74"/>
      <c r="Q110" s="75">
        <f>SUM(Q104:Q106)</f>
        <v>23560</v>
      </c>
      <c r="R110" s="66"/>
      <c r="S110" s="7"/>
      <c r="T110" s="7"/>
      <c r="U110" s="7"/>
      <c r="V110" s="7"/>
      <c r="W110" s="7"/>
      <c r="X110" s="7"/>
    </row>
    <row r="111" ht="19.5" customHeight="1">
      <c r="A111" s="7"/>
      <c r="B111" s="7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1"/>
      <c r="R111" s="7"/>
      <c r="S111" s="7"/>
      <c r="T111" s="7"/>
      <c r="U111" s="7"/>
      <c r="V111" s="7"/>
      <c r="W111" s="7"/>
      <c r="X111" s="7"/>
    </row>
    <row r="112" ht="30.0" customHeight="1">
      <c r="A112" s="54"/>
      <c r="B112" s="55" t="s">
        <v>92</v>
      </c>
      <c r="C112" s="56" t="s">
        <v>87</v>
      </c>
      <c r="D112" s="57" t="s">
        <v>7</v>
      </c>
      <c r="E112" s="57" t="s">
        <v>8</v>
      </c>
      <c r="F112" s="57" t="s">
        <v>9</v>
      </c>
      <c r="G112" s="57" t="s">
        <v>10</v>
      </c>
      <c r="H112" s="57" t="s">
        <v>11</v>
      </c>
      <c r="I112" s="57" t="s">
        <v>12</v>
      </c>
      <c r="J112" s="57" t="s">
        <v>13</v>
      </c>
      <c r="K112" s="57" t="s">
        <v>14</v>
      </c>
      <c r="L112" s="57" t="s">
        <v>15</v>
      </c>
      <c r="M112" s="57" t="s">
        <v>16</v>
      </c>
      <c r="N112" s="57" t="s">
        <v>17</v>
      </c>
      <c r="O112" s="57" t="s">
        <v>18</v>
      </c>
      <c r="P112" s="58"/>
      <c r="Q112" s="59" t="s">
        <v>93</v>
      </c>
      <c r="R112" s="54"/>
      <c r="S112" s="54"/>
      <c r="T112" s="54"/>
      <c r="U112" s="54"/>
      <c r="V112" s="54"/>
      <c r="W112" s="54"/>
      <c r="X112" s="54"/>
      <c r="Y112" s="60"/>
      <c r="Z112" s="60"/>
    </row>
    <row r="113" ht="19.5" customHeight="1">
      <c r="A113" s="7"/>
      <c r="B113" s="61" t="s">
        <v>94</v>
      </c>
      <c r="C113" s="62">
        <v>15000.0</v>
      </c>
      <c r="D113" s="82">
        <v>15000.0</v>
      </c>
      <c r="E113" s="82">
        <v>15000.0</v>
      </c>
      <c r="F113" s="82">
        <v>15000.0</v>
      </c>
      <c r="G113" s="82">
        <v>15000.0</v>
      </c>
      <c r="H113" s="82">
        <v>15000.0</v>
      </c>
      <c r="I113" s="82">
        <v>15000.0</v>
      </c>
      <c r="J113" s="82">
        <v>15000.0</v>
      </c>
      <c r="K113" s="82">
        <v>15000.0</v>
      </c>
      <c r="L113" s="82">
        <v>15000.0</v>
      </c>
      <c r="M113" s="82">
        <v>15000.0</v>
      </c>
      <c r="N113" s="82">
        <v>15000.0</v>
      </c>
      <c r="O113" s="82">
        <v>15000.0</v>
      </c>
      <c r="P113" s="83"/>
      <c r="Q113" s="84">
        <f t="shared" ref="Q113:Q120" si="35">O113-C113</f>
        <v>0</v>
      </c>
      <c r="R113" s="66"/>
      <c r="S113" s="7"/>
      <c r="T113" s="7"/>
      <c r="U113" s="7"/>
      <c r="V113" s="7"/>
      <c r="W113" s="7"/>
      <c r="X113" s="7"/>
    </row>
    <row r="114" ht="19.5" customHeight="1">
      <c r="A114" s="7"/>
      <c r="B114" s="61" t="s">
        <v>95</v>
      </c>
      <c r="C114" s="62">
        <v>15000.0</v>
      </c>
      <c r="D114" s="82">
        <v>15000.0</v>
      </c>
      <c r="E114" s="82">
        <v>15000.0</v>
      </c>
      <c r="F114" s="82">
        <v>15000.0</v>
      </c>
      <c r="G114" s="82">
        <v>15000.0</v>
      </c>
      <c r="H114" s="82">
        <v>15000.0</v>
      </c>
      <c r="I114" s="82">
        <v>15000.0</v>
      </c>
      <c r="J114" s="82">
        <v>15000.0</v>
      </c>
      <c r="K114" s="82">
        <v>15000.0</v>
      </c>
      <c r="L114" s="82">
        <v>15000.0</v>
      </c>
      <c r="M114" s="82">
        <v>15000.0</v>
      </c>
      <c r="N114" s="82">
        <v>15000.0</v>
      </c>
      <c r="O114" s="82">
        <v>15000.0</v>
      </c>
      <c r="P114" s="83"/>
      <c r="Q114" s="84">
        <f t="shared" si="35"/>
        <v>0</v>
      </c>
      <c r="R114" s="66"/>
      <c r="S114" s="7"/>
      <c r="T114" s="7"/>
      <c r="U114" s="7"/>
      <c r="V114" s="7"/>
      <c r="W114" s="7"/>
      <c r="X114" s="7"/>
    </row>
    <row r="115" ht="19.5" customHeight="1">
      <c r="A115" s="7"/>
      <c r="B115" s="85" t="s">
        <v>96</v>
      </c>
      <c r="C115" s="62">
        <v>6000.0</v>
      </c>
      <c r="D115" s="86">
        <v>7000.0</v>
      </c>
      <c r="E115" s="86">
        <v>7000.0</v>
      </c>
      <c r="F115" s="86">
        <v>7000.0</v>
      </c>
      <c r="G115" s="86">
        <v>7000.0</v>
      </c>
      <c r="H115" s="86">
        <v>7000.0</v>
      </c>
      <c r="I115" s="86">
        <v>7000.0</v>
      </c>
      <c r="J115" s="86">
        <v>7000.0</v>
      </c>
      <c r="K115" s="86">
        <v>7000.0</v>
      </c>
      <c r="L115" s="86">
        <v>7000.0</v>
      </c>
      <c r="M115" s="86">
        <v>7000.0</v>
      </c>
      <c r="N115" s="86">
        <v>7000.0</v>
      </c>
      <c r="O115" s="86">
        <v>7000.0</v>
      </c>
      <c r="P115" s="83"/>
      <c r="Q115" s="84">
        <f t="shared" si="35"/>
        <v>1000</v>
      </c>
      <c r="R115" s="66"/>
      <c r="S115" s="7"/>
      <c r="T115" s="7"/>
      <c r="U115" s="7"/>
      <c r="V115" s="7"/>
      <c r="W115" s="7"/>
      <c r="X115" s="7"/>
    </row>
    <row r="116" ht="19.5" customHeight="1">
      <c r="A116" s="7"/>
      <c r="B116" s="85" t="s">
        <v>97</v>
      </c>
      <c r="C116" s="62">
        <v>1600.0</v>
      </c>
      <c r="D116" s="82">
        <f t="shared" ref="D116:O116" si="36">C116+D11</f>
        <v>327.5</v>
      </c>
      <c r="E116" s="82">
        <f t="shared" si="36"/>
        <v>2944.16505</v>
      </c>
      <c r="F116" s="82">
        <f t="shared" si="36"/>
        <v>4330.8301</v>
      </c>
      <c r="G116" s="82">
        <f t="shared" si="36"/>
        <v>4992.49515</v>
      </c>
      <c r="H116" s="82">
        <f t="shared" si="36"/>
        <v>5904.1602</v>
      </c>
      <c r="I116" s="82">
        <f t="shared" si="36"/>
        <v>6815.82525</v>
      </c>
      <c r="J116" s="82">
        <f t="shared" si="36"/>
        <v>7727.4903</v>
      </c>
      <c r="K116" s="82">
        <f t="shared" si="36"/>
        <v>8389.15535</v>
      </c>
      <c r="L116" s="82">
        <f t="shared" si="36"/>
        <v>9300.8204</v>
      </c>
      <c r="M116" s="82">
        <f t="shared" si="36"/>
        <v>10212.48545</v>
      </c>
      <c r="N116" s="82">
        <f t="shared" si="36"/>
        <v>10874.1505</v>
      </c>
      <c r="O116" s="82">
        <f t="shared" si="36"/>
        <v>13440.81555</v>
      </c>
      <c r="P116" s="83"/>
      <c r="Q116" s="84">
        <f t="shared" si="35"/>
        <v>11840.81555</v>
      </c>
      <c r="R116" s="66"/>
      <c r="S116" s="7"/>
      <c r="T116" s="7"/>
      <c r="U116" s="7"/>
      <c r="V116" s="7"/>
      <c r="W116" s="7"/>
      <c r="X116" s="7"/>
    </row>
    <row r="117" ht="19.5" customHeight="1">
      <c r="A117" s="7"/>
      <c r="B117" s="85" t="s">
        <v>98</v>
      </c>
      <c r="C117" s="62">
        <v>1800.0</v>
      </c>
      <c r="D117" s="82">
        <v>2600.0</v>
      </c>
      <c r="E117" s="82">
        <v>2600.0</v>
      </c>
      <c r="F117" s="82">
        <v>2600.0</v>
      </c>
      <c r="G117" s="82">
        <v>2600.0</v>
      </c>
      <c r="H117" s="82">
        <v>2600.0</v>
      </c>
      <c r="I117" s="82">
        <v>2600.0</v>
      </c>
      <c r="J117" s="82">
        <v>2600.0</v>
      </c>
      <c r="K117" s="82">
        <v>2600.0</v>
      </c>
      <c r="L117" s="82">
        <v>2600.0</v>
      </c>
      <c r="M117" s="82">
        <v>2600.0</v>
      </c>
      <c r="N117" s="82">
        <v>2600.0</v>
      </c>
      <c r="O117" s="82">
        <v>2600.0</v>
      </c>
      <c r="P117" s="83"/>
      <c r="Q117" s="84">
        <f t="shared" si="35"/>
        <v>800</v>
      </c>
      <c r="R117" s="66"/>
      <c r="S117" s="7"/>
      <c r="T117" s="7"/>
      <c r="U117" s="7"/>
      <c r="V117" s="7"/>
      <c r="W117" s="7"/>
      <c r="X117" s="7"/>
    </row>
    <row r="118" ht="19.5" customHeight="1">
      <c r="A118" s="7"/>
      <c r="B118" s="85" t="s">
        <v>99</v>
      </c>
      <c r="C118" s="62">
        <v>12000.0</v>
      </c>
      <c r="D118" s="82">
        <v>12100.0</v>
      </c>
      <c r="E118" s="82">
        <f t="shared" ref="E118:O118" si="37">D118+E34</f>
        <v>13183.333</v>
      </c>
      <c r="F118" s="82">
        <f t="shared" si="37"/>
        <v>14266.666</v>
      </c>
      <c r="G118" s="82">
        <f t="shared" si="37"/>
        <v>15349.999</v>
      </c>
      <c r="H118" s="82">
        <f t="shared" si="37"/>
        <v>16433.332</v>
      </c>
      <c r="I118" s="82">
        <f t="shared" si="37"/>
        <v>17516.665</v>
      </c>
      <c r="J118" s="82">
        <f t="shared" si="37"/>
        <v>18599.998</v>
      </c>
      <c r="K118" s="82">
        <f t="shared" si="37"/>
        <v>19683.331</v>
      </c>
      <c r="L118" s="82">
        <f t="shared" si="37"/>
        <v>20766.664</v>
      </c>
      <c r="M118" s="82">
        <f t="shared" si="37"/>
        <v>21849.997</v>
      </c>
      <c r="N118" s="82">
        <f t="shared" si="37"/>
        <v>22933.33</v>
      </c>
      <c r="O118" s="82">
        <f t="shared" si="37"/>
        <v>24016.663</v>
      </c>
      <c r="P118" s="83"/>
      <c r="Q118" s="84">
        <f t="shared" si="35"/>
        <v>12016.663</v>
      </c>
      <c r="R118" s="66"/>
      <c r="S118" s="7"/>
      <c r="T118" s="7"/>
      <c r="U118" s="7"/>
      <c r="V118" s="7"/>
      <c r="W118" s="7"/>
      <c r="X118" s="7"/>
    </row>
    <row r="119" ht="19.5" customHeight="1">
      <c r="A119" s="7"/>
      <c r="B119" s="85" t="s">
        <v>100</v>
      </c>
      <c r="C119" s="62">
        <v>9000.0</v>
      </c>
      <c r="D119" s="82">
        <v>9750.0</v>
      </c>
      <c r="E119" s="82">
        <f t="shared" ref="E119:O119" si="38">D119+E33+($D$14*0.04)</f>
        <v>12045.83275</v>
      </c>
      <c r="F119" s="82">
        <f t="shared" si="38"/>
        <v>14341.6655</v>
      </c>
      <c r="G119" s="82">
        <f t="shared" si="38"/>
        <v>16637.49825</v>
      </c>
      <c r="H119" s="82">
        <f t="shared" si="38"/>
        <v>18933.331</v>
      </c>
      <c r="I119" s="82">
        <f t="shared" si="38"/>
        <v>21229.16375</v>
      </c>
      <c r="J119" s="82">
        <f t="shared" si="38"/>
        <v>23524.9965</v>
      </c>
      <c r="K119" s="82">
        <f t="shared" si="38"/>
        <v>25820.82925</v>
      </c>
      <c r="L119" s="82">
        <f t="shared" si="38"/>
        <v>28116.662</v>
      </c>
      <c r="M119" s="82">
        <f t="shared" si="38"/>
        <v>30412.49475</v>
      </c>
      <c r="N119" s="82">
        <f t="shared" si="38"/>
        <v>32708.3275</v>
      </c>
      <c r="O119" s="82">
        <f t="shared" si="38"/>
        <v>35529.16025</v>
      </c>
      <c r="P119" s="83"/>
      <c r="Q119" s="84">
        <f t="shared" si="35"/>
        <v>26529.16025</v>
      </c>
      <c r="R119" s="66"/>
      <c r="S119" s="7"/>
      <c r="T119" s="7"/>
      <c r="U119" s="7"/>
      <c r="V119" s="7"/>
      <c r="W119" s="7"/>
      <c r="X119" s="7"/>
    </row>
    <row r="120" ht="19.5" customHeight="1">
      <c r="A120" s="87">
        <v>75.0</v>
      </c>
      <c r="B120" s="85" t="s">
        <v>101</v>
      </c>
      <c r="C120" s="62">
        <v>3000.0</v>
      </c>
      <c r="D120" s="82">
        <f t="shared" ref="D120:O120" si="39">C120-$A$120</f>
        <v>2925</v>
      </c>
      <c r="E120" s="82">
        <f t="shared" si="39"/>
        <v>2850</v>
      </c>
      <c r="F120" s="82">
        <f t="shared" si="39"/>
        <v>2775</v>
      </c>
      <c r="G120" s="82">
        <f t="shared" si="39"/>
        <v>2700</v>
      </c>
      <c r="H120" s="82">
        <f t="shared" si="39"/>
        <v>2625</v>
      </c>
      <c r="I120" s="82">
        <f t="shared" si="39"/>
        <v>2550</v>
      </c>
      <c r="J120" s="82">
        <f t="shared" si="39"/>
        <v>2475</v>
      </c>
      <c r="K120" s="82">
        <f t="shared" si="39"/>
        <v>2400</v>
      </c>
      <c r="L120" s="82">
        <f t="shared" si="39"/>
        <v>2325</v>
      </c>
      <c r="M120" s="82">
        <f t="shared" si="39"/>
        <v>2250</v>
      </c>
      <c r="N120" s="82">
        <f t="shared" si="39"/>
        <v>2175</v>
      </c>
      <c r="O120" s="82">
        <f t="shared" si="39"/>
        <v>2100</v>
      </c>
      <c r="P120" s="83"/>
      <c r="Q120" s="84">
        <f t="shared" si="35"/>
        <v>-900</v>
      </c>
      <c r="R120" s="66"/>
      <c r="S120" s="7"/>
      <c r="T120" s="7"/>
      <c r="U120" s="7"/>
      <c r="V120" s="7"/>
      <c r="W120" s="7"/>
      <c r="X120" s="7"/>
    </row>
    <row r="121" ht="19.5" customHeight="1">
      <c r="A121" s="7"/>
      <c r="B121" s="85" t="s">
        <v>29</v>
      </c>
      <c r="C121" s="62">
        <v>0.0</v>
      </c>
      <c r="D121" s="82">
        <v>0.0</v>
      </c>
      <c r="E121" s="82">
        <v>0.0</v>
      </c>
      <c r="F121" s="82">
        <v>0.0</v>
      </c>
      <c r="G121" s="82">
        <v>0.0</v>
      </c>
      <c r="H121" s="82">
        <v>0.0</v>
      </c>
      <c r="I121" s="82">
        <v>0.0</v>
      </c>
      <c r="J121" s="82">
        <v>0.0</v>
      </c>
      <c r="K121" s="82">
        <v>0.0</v>
      </c>
      <c r="L121" s="82">
        <v>0.0</v>
      </c>
      <c r="M121" s="82">
        <v>0.0</v>
      </c>
      <c r="N121" s="82">
        <v>0.0</v>
      </c>
      <c r="O121" s="82">
        <v>0.0</v>
      </c>
      <c r="P121" s="83"/>
      <c r="Q121" s="84">
        <v>0.0</v>
      </c>
      <c r="R121" s="66"/>
      <c r="S121" s="7"/>
      <c r="T121" s="7"/>
      <c r="U121" s="7"/>
      <c r="V121" s="7"/>
      <c r="W121" s="7"/>
      <c r="X121" s="7"/>
    </row>
    <row r="122" ht="19.5" customHeight="1">
      <c r="A122" s="7"/>
      <c r="B122" s="67"/>
      <c r="C122" s="6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9"/>
      <c r="Q122" s="90"/>
      <c r="R122" s="7"/>
      <c r="S122" s="7"/>
      <c r="T122" s="7"/>
      <c r="U122" s="7"/>
      <c r="V122" s="7"/>
      <c r="W122" s="7"/>
      <c r="X122" s="7"/>
    </row>
    <row r="123" ht="19.5" customHeight="1">
      <c r="A123" s="7"/>
      <c r="B123" s="72" t="s">
        <v>102</v>
      </c>
      <c r="C123" s="73">
        <f t="shared" ref="C123:E123" si="40">sum(C113:C121)</f>
        <v>63400</v>
      </c>
      <c r="D123" s="73">
        <f t="shared" si="40"/>
        <v>64702.5</v>
      </c>
      <c r="E123" s="73">
        <f t="shared" si="40"/>
        <v>70623.3308</v>
      </c>
      <c r="F123" s="73">
        <f>sum(F113:F119)</f>
        <v>72539.1616</v>
      </c>
      <c r="G123" s="73">
        <f t="shared" ref="G123:N123" si="41">sum(G113:G121)</f>
        <v>79279.9924</v>
      </c>
      <c r="H123" s="73">
        <f t="shared" si="41"/>
        <v>83495.8232</v>
      </c>
      <c r="I123" s="73">
        <f t="shared" si="41"/>
        <v>87711.654</v>
      </c>
      <c r="J123" s="73">
        <f t="shared" si="41"/>
        <v>91927.4848</v>
      </c>
      <c r="K123" s="73">
        <f t="shared" si="41"/>
        <v>95893.3156</v>
      </c>
      <c r="L123" s="73">
        <f t="shared" si="41"/>
        <v>100109.1464</v>
      </c>
      <c r="M123" s="73">
        <f t="shared" si="41"/>
        <v>104324.9772</v>
      </c>
      <c r="N123" s="73">
        <f t="shared" si="41"/>
        <v>108290.808</v>
      </c>
      <c r="O123" s="73">
        <f>Sum(O113:O121)</f>
        <v>114686.6388</v>
      </c>
      <c r="P123" s="91"/>
      <c r="Q123" s="75">
        <f>SUM(Q113:Q122)</f>
        <v>51286.6388</v>
      </c>
      <c r="R123" s="66"/>
      <c r="S123" s="7"/>
      <c r="T123" s="7"/>
      <c r="U123" s="7"/>
      <c r="V123" s="7"/>
      <c r="W123" s="7"/>
      <c r="X123" s="7"/>
    </row>
    <row r="124" ht="15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5.0" customHeight="1">
      <c r="A125" s="7"/>
      <c r="B125" s="72" t="s">
        <v>103</v>
      </c>
      <c r="C125" s="92">
        <v>584.0</v>
      </c>
      <c r="D125" s="92">
        <v>595.0</v>
      </c>
      <c r="E125" s="92">
        <v>584.0</v>
      </c>
      <c r="F125" s="92">
        <v>584.0</v>
      </c>
      <c r="G125" s="92">
        <v>584.0</v>
      </c>
      <c r="H125" s="92">
        <v>584.0</v>
      </c>
      <c r="I125" s="92">
        <v>584.0</v>
      </c>
      <c r="J125" s="92">
        <v>584.0</v>
      </c>
      <c r="K125" s="92">
        <v>584.0</v>
      </c>
      <c r="L125" s="92">
        <v>584.0</v>
      </c>
      <c r="M125" s="92">
        <v>584.0</v>
      </c>
      <c r="N125" s="92">
        <v>584.0</v>
      </c>
      <c r="O125" s="92">
        <v>584.0</v>
      </c>
      <c r="P125" s="91"/>
      <c r="Q125" s="92">
        <v>584.0</v>
      </c>
      <c r="R125" s="7"/>
      <c r="S125" s="7"/>
      <c r="T125" s="7"/>
      <c r="U125" s="7"/>
      <c r="V125" s="7"/>
      <c r="W125" s="7"/>
      <c r="X125" s="7"/>
    </row>
    <row r="126" ht="15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5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5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5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5.0" customHeight="1">
      <c r="A130" s="7"/>
      <c r="B130" s="7"/>
      <c r="C130" s="7"/>
      <c r="D130" s="9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5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5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5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5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5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5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5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5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5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5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5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5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5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5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5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5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5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5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5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5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5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5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5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5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5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5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5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5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5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5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5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5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5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5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5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5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5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5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5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5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5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5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5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5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5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5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5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5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5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5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5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5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5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5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5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5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5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5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5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5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5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5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5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5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5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5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5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5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5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5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5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5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5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5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5">
    <mergeCell ref="B2:C2"/>
    <mergeCell ref="B3:C3"/>
    <mergeCell ref="B5:C5"/>
    <mergeCell ref="B6:C6"/>
    <mergeCell ref="B99:Q99"/>
  </mergeCells>
  <conditionalFormatting sqref="D9:O11 D39:O97 Q39:Q41 D103:O106 D109:O109 D112:O114 D116:O121">
    <cfRule type="cellIs" dxfId="0" priority="1" operator="lessThan">
      <formula>0</formula>
    </cfRule>
  </conditionalFormatting>
  <conditionalFormatting sqref="D14:O20">
    <cfRule type="cellIs" dxfId="0" priority="2" operator="lessThan">
      <formula>0</formula>
    </cfRule>
  </conditionalFormatting>
  <conditionalFormatting sqref="D23:O28">
    <cfRule type="cellIs" dxfId="0" priority="3" operator="lessThan">
      <formula>0</formula>
    </cfRule>
  </conditionalFormatting>
  <conditionalFormatting sqref="D30:O30 Q30">
    <cfRule type="cellIs" dxfId="0" priority="4" operator="lessThan">
      <formula>0</formula>
    </cfRule>
  </conditionalFormatting>
  <conditionalFormatting sqref="D33:O37 C41">
    <cfRule type="cellIs" dxfId="0" priority="5" operator="lessThan">
      <formula>0</formula>
    </cfRule>
  </conditionalFormatting>
  <conditionalFormatting sqref="Q9:Q11">
    <cfRule type="cellIs" dxfId="0" priority="6" operator="lessThan">
      <formula>0</formula>
    </cfRule>
  </conditionalFormatting>
  <conditionalFormatting sqref="Q14:Q20 Q33:Q37 Q55:Q61 Q85:Q91 Q93:Q97">
    <cfRule type="cellIs" dxfId="0" priority="7" operator="lessThan">
      <formula>0</formula>
    </cfRule>
  </conditionalFormatting>
  <conditionalFormatting sqref="Q23:Q28">
    <cfRule type="cellIs" dxfId="0" priority="8" operator="lessThan">
      <formula>0</formula>
    </cfRule>
  </conditionalFormatting>
  <conditionalFormatting sqref="Q43:Q53">
    <cfRule type="cellIs" dxfId="0" priority="9" operator="lessThan">
      <formula>0</formula>
    </cfRule>
  </conditionalFormatting>
  <conditionalFormatting sqref="Q63:Q69 Q71:Q83 Q103:Q110 Q112:Q123">
    <cfRule type="cellIs" dxfId="0" priority="10" operator="lessThan">
      <formula>0</formula>
    </cfRule>
  </conditionalFormatting>
  <hyperlinks>
    <hyperlink r:id="rId1" ref="B110"/>
  </hyperlinks>
  <drawing r:id="rId2"/>
  <extLst>
    <ext uri="{05C60535-1F16-4fd2-B633-F4F36F0B64E0}">
      <x14:sparklineGroups>
        <x14:sparklineGroup displayEmptyCellsAs="gap">
          <x14:colorSeries rgb="FF00B050"/>
          <x14:sparklines>
            <x14:sparkline>
              <xm:f>'CHARLEY 2026 Projections'!D9:O9</xm:f>
              <xm:sqref>C9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Projections'!D10:O10</xm:f>
              <xm:sqref>C10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Projections'!D11:O11</xm:f>
              <xm:sqref>C11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Projections'!D14:O14</xm:f>
              <xm:sqref>C14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Projections'!D15:O15</xm:f>
              <xm:sqref>C15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Projections'!D16:O16</xm:f>
              <xm:sqref>C16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Projections'!D17:O17</xm:f>
              <xm:sqref>C17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Projections'!E18:O18</xm:f>
              <xm:sqref>C18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Projections'!E19:O19</xm:f>
              <xm:sqref>C19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Projections'!D20:O20</xm:f>
              <xm:sqref>C20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Projections'!D23:O23</xm:f>
              <xm:sqref>C23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Projections'!D24:O24</xm:f>
              <xm:sqref>C24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Projections'!D25:O25</xm:f>
              <xm:sqref>C25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Projections'!D26:O26</xm:f>
              <xm:sqref>C26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Projections'!D27:O27</xm:f>
              <xm:sqref>C27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Projections'!D28:O28</xm:f>
              <xm:sqref>C28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Projections'!D30:O30</xm:f>
              <xm:sqref>C30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Projections'!D33:O33</xm:f>
              <xm:sqref>C33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Projections'!D34:O34</xm:f>
              <xm:sqref>C34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Projections'!D36:O36</xm:f>
              <xm:sqref>C37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Projections'!D38:O38</xm:f>
              <xm:sqref>C39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Projections'!D42:O42</xm:f>
              <xm:sqref>C43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Projections'!D43:O43</xm:f>
              <xm:sqref>C44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Projections'!D44:O44</xm:f>
              <xm:sqref>C45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Projections'!D45:O45</xm:f>
              <xm:sqref>C46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Projections'!D46:O46</xm:f>
              <xm:sqref>C47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Projections'!D47:O47</xm:f>
              <xm:sqref>C48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Projections'!D48:O48</xm:f>
              <xm:sqref>C49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Projections'!D49:O49</xm:f>
              <xm:sqref>C50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Projections'!D50:O50</xm:f>
              <xm:sqref>C51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Projections'!D51:O51</xm:f>
              <xm:sqref>C52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Projections'!D54:O54</xm:f>
              <xm:sqref>C55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Projections'!D55:O55</xm:f>
              <xm:sqref>C56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Projections'!D56:O56</xm:f>
              <xm:sqref>C57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Projections'!D57:O57</xm:f>
              <xm:sqref>C58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Projections'!D58:O58</xm:f>
              <xm:sqref>C59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Projections'!D59:O59</xm:f>
              <xm:sqref>C60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Projections'!D62:O62</xm:f>
              <xm:sqref>C63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Projections'!D63:O63</xm:f>
              <xm:sqref>C64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Projections'!D64:O64</xm:f>
              <xm:sqref>C65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Projections'!D66:O66</xm:f>
              <xm:sqref>C67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Projections'!D67:O67</xm:f>
              <xm:sqref>C68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Projections'!D70:O70</xm:f>
              <xm:sqref>C71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Projections'!D71:O71</xm:f>
              <xm:sqref>C72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Projections'!D72:O72</xm:f>
              <xm:sqref>C73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Projections'!D73:O73</xm:f>
              <xm:sqref>C74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Projections'!D74:O74</xm:f>
              <xm:sqref>C75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Projections'!D75:O75</xm:f>
              <xm:sqref>C76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Projections'!D76:O76</xm:f>
              <xm:sqref>C77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Projections'!D77:O77</xm:f>
              <xm:sqref>C78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Projections'!D78:O78</xm:f>
              <xm:sqref>C79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Projections'!D79:O79</xm:f>
              <xm:sqref>C80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Projections'!D80:O80</xm:f>
              <xm:sqref>C81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Projections'!D81:O81</xm:f>
              <xm:sqref>C82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Projections'!D84:O84</xm:f>
              <xm:sqref>C85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Projections'!D85:O85</xm:f>
              <xm:sqref>C86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Projections'!D86:O86</xm:f>
              <xm:sqref>C87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Projections'!D87:O87</xm:f>
              <xm:sqref>C88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Projections'!D88:O88</xm:f>
              <xm:sqref>C89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Projections'!D89:O89</xm:f>
              <xm:sqref>C90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Projections'!D92:O92</xm:f>
              <xm:sqref>C93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Projections'!D93:O93</xm:f>
              <xm:sqref>C94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Projections'!D94:O94</xm:f>
              <xm:sqref>C95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Projections'!D96:O96</xm:f>
              <xm:sqref>C97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57.71"/>
    <col customWidth="1" min="3" max="3" width="15.86"/>
    <col customWidth="1" min="4" max="15" width="12.71"/>
    <col customWidth="1" min="16" max="16" width="3.71"/>
    <col customWidth="1" min="17" max="17" width="12.71"/>
    <col customWidth="1" min="18" max="18" width="3.71"/>
    <col customWidth="1" min="19" max="24" width="28.71"/>
  </cols>
  <sheetData>
    <row r="1" ht="49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1.75" customHeight="1">
      <c r="A2" s="3"/>
      <c r="B2" s="4" t="s">
        <v>1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</row>
    <row r="3" ht="34.5" customHeight="1">
      <c r="A3" s="8"/>
      <c r="B3" s="9" t="s">
        <v>2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8"/>
      <c r="S3" s="8"/>
      <c r="T3" s="8"/>
      <c r="U3" s="8"/>
      <c r="V3" s="8"/>
      <c r="W3" s="8"/>
      <c r="X3" s="8"/>
    </row>
    <row r="4" ht="15.0" customHeight="1">
      <c r="A4" s="7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S4" s="7"/>
      <c r="T4" s="7"/>
      <c r="U4" s="7"/>
      <c r="V4" s="7"/>
      <c r="W4" s="7"/>
      <c r="X4" s="7"/>
    </row>
    <row r="5" ht="21.75" customHeight="1">
      <c r="A5" s="3"/>
      <c r="B5" s="4" t="s">
        <v>3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  <c r="W5" s="7"/>
      <c r="X5" s="7"/>
    </row>
    <row r="6" ht="34.5" customHeight="1">
      <c r="A6" s="8"/>
      <c r="B6" s="9" t="s">
        <v>108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8"/>
      <c r="S6" s="8"/>
      <c r="T6" s="8"/>
      <c r="U6" s="8"/>
      <c r="V6" s="8"/>
      <c r="W6" s="8"/>
      <c r="X6" s="8"/>
    </row>
    <row r="7" ht="15.0" customHeight="1">
      <c r="A7" s="7"/>
      <c r="B7" s="14" t="s">
        <v>105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7"/>
      <c r="T7" s="7"/>
      <c r="U7" s="7"/>
      <c r="V7" s="7"/>
      <c r="W7" s="7"/>
      <c r="X7" s="7"/>
    </row>
    <row r="8" ht="19.5" customHeight="1">
      <c r="A8" s="8"/>
      <c r="B8" s="12"/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1"/>
      <c r="Q8" s="15" t="s">
        <v>19</v>
      </c>
      <c r="S8" s="8"/>
      <c r="T8" s="8"/>
      <c r="U8" s="8"/>
      <c r="V8" s="8"/>
      <c r="W8" s="8"/>
      <c r="X8" s="8"/>
    </row>
    <row r="9" ht="19.5" customHeight="1">
      <c r="A9" s="7"/>
      <c r="B9" s="16" t="s">
        <v>20</v>
      </c>
      <c r="C9" s="17"/>
      <c r="D9" s="18">
        <f t="shared" ref="D9:O9" si="1">D39</f>
        <v>6576</v>
      </c>
      <c r="E9" s="18">
        <f t="shared" si="1"/>
        <v>7854.16425</v>
      </c>
      <c r="F9" s="18">
        <f t="shared" si="1"/>
        <v>7854.16425</v>
      </c>
      <c r="G9" s="18">
        <f t="shared" si="1"/>
        <v>7854.16425</v>
      </c>
      <c r="H9" s="18">
        <f t="shared" si="1"/>
        <v>7854.16425</v>
      </c>
      <c r="I9" s="18">
        <f t="shared" si="1"/>
        <v>7854.16425</v>
      </c>
      <c r="J9" s="18">
        <f t="shared" si="1"/>
        <v>7854.16425</v>
      </c>
      <c r="K9" s="18">
        <f t="shared" si="1"/>
        <v>7854.16425</v>
      </c>
      <c r="L9" s="18">
        <f t="shared" si="1"/>
        <v>7854.16425</v>
      </c>
      <c r="M9" s="18">
        <f t="shared" si="1"/>
        <v>7854.16425</v>
      </c>
      <c r="N9" s="18">
        <f t="shared" si="1"/>
        <v>7854.16425</v>
      </c>
      <c r="O9" s="18">
        <f t="shared" si="1"/>
        <v>10329.16425</v>
      </c>
      <c r="P9" s="19"/>
      <c r="Q9" s="18">
        <f t="shared" ref="Q9:Q10" si="3">SUM(D9:O9)</f>
        <v>95446.80675</v>
      </c>
      <c r="S9" s="7"/>
      <c r="T9" s="7"/>
      <c r="U9" s="7"/>
      <c r="V9" s="7"/>
    </row>
    <row r="10" ht="19.5" customHeight="1">
      <c r="A10" s="7"/>
      <c r="B10" s="16" t="s">
        <v>21</v>
      </c>
      <c r="C10" s="20"/>
      <c r="D10" s="21">
        <f t="shared" ref="D10:O10" si="2">D97</f>
        <v>7848.5</v>
      </c>
      <c r="E10" s="21">
        <f t="shared" si="2"/>
        <v>7317.4992</v>
      </c>
      <c r="F10" s="21">
        <f t="shared" si="2"/>
        <v>6467.4992</v>
      </c>
      <c r="G10" s="21">
        <f t="shared" si="2"/>
        <v>7192.4992</v>
      </c>
      <c r="H10" s="21">
        <f t="shared" si="2"/>
        <v>6942.4992</v>
      </c>
      <c r="I10" s="21">
        <f t="shared" si="2"/>
        <v>6942.4992</v>
      </c>
      <c r="J10" s="21">
        <f t="shared" si="2"/>
        <v>6942.4992</v>
      </c>
      <c r="K10" s="21">
        <f t="shared" si="2"/>
        <v>7192.4992</v>
      </c>
      <c r="L10" s="21">
        <f t="shared" si="2"/>
        <v>6942.4992</v>
      </c>
      <c r="M10" s="21">
        <f t="shared" si="2"/>
        <v>6942.4992</v>
      </c>
      <c r="N10" s="21">
        <f t="shared" si="2"/>
        <v>7192.4992</v>
      </c>
      <c r="O10" s="21">
        <f t="shared" si="2"/>
        <v>7762.4992</v>
      </c>
      <c r="P10" s="7"/>
      <c r="Q10" s="21">
        <f t="shared" si="3"/>
        <v>85685.9912</v>
      </c>
      <c r="R10" s="7"/>
      <c r="S10" s="7"/>
      <c r="T10" s="7"/>
      <c r="U10" s="7"/>
      <c r="V10" s="7"/>
      <c r="W10" s="7"/>
      <c r="X10" s="7"/>
    </row>
    <row r="11" ht="21.75" customHeight="1">
      <c r="A11" s="7"/>
      <c r="B11" s="16" t="s">
        <v>22</v>
      </c>
      <c r="C11" s="22"/>
      <c r="D11" s="23">
        <f t="shared" ref="D11:O11" si="4">D9-D10</f>
        <v>-1272.5</v>
      </c>
      <c r="E11" s="23">
        <f t="shared" si="4"/>
        <v>536.66505</v>
      </c>
      <c r="F11" s="23">
        <f t="shared" si="4"/>
        <v>1386.66505</v>
      </c>
      <c r="G11" s="23">
        <f t="shared" si="4"/>
        <v>661.66505</v>
      </c>
      <c r="H11" s="23">
        <f t="shared" si="4"/>
        <v>911.66505</v>
      </c>
      <c r="I11" s="23">
        <f t="shared" si="4"/>
        <v>911.66505</v>
      </c>
      <c r="J11" s="23">
        <f t="shared" si="4"/>
        <v>911.66505</v>
      </c>
      <c r="K11" s="23">
        <f t="shared" si="4"/>
        <v>661.66505</v>
      </c>
      <c r="L11" s="23">
        <f t="shared" si="4"/>
        <v>911.66505</v>
      </c>
      <c r="M11" s="23">
        <f t="shared" si="4"/>
        <v>911.66505</v>
      </c>
      <c r="N11" s="23">
        <f t="shared" si="4"/>
        <v>661.66505</v>
      </c>
      <c r="O11" s="23">
        <f t="shared" si="4"/>
        <v>2566.66505</v>
      </c>
      <c r="P11" s="19"/>
      <c r="Q11" s="23">
        <f>Q9-Q10</f>
        <v>9760.81555</v>
      </c>
      <c r="S11" s="7"/>
      <c r="T11" s="7"/>
      <c r="U11" s="7"/>
      <c r="V11" s="7"/>
    </row>
    <row r="12" ht="19.5" customHeight="1">
      <c r="A12" s="7"/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9"/>
      <c r="Q12" s="7"/>
      <c r="S12" s="7"/>
      <c r="T12" s="7"/>
      <c r="U12" s="7"/>
      <c r="V12" s="7"/>
    </row>
    <row r="13" ht="31.5" customHeight="1">
      <c r="A13" s="8"/>
      <c r="B13" s="24" t="s">
        <v>23</v>
      </c>
      <c r="C13" s="15" t="s">
        <v>6</v>
      </c>
      <c r="D13" s="25" t="s">
        <v>7</v>
      </c>
      <c r="E13" s="25" t="s">
        <v>8</v>
      </c>
      <c r="F13" s="25" t="s">
        <v>9</v>
      </c>
      <c r="G13" s="25" t="s">
        <v>10</v>
      </c>
      <c r="H13" s="25" t="s">
        <v>11</v>
      </c>
      <c r="I13" s="25" t="s">
        <v>12</v>
      </c>
      <c r="J13" s="25" t="s">
        <v>13</v>
      </c>
      <c r="K13" s="25" t="s">
        <v>14</v>
      </c>
      <c r="L13" s="25" t="s">
        <v>15</v>
      </c>
      <c r="M13" s="25" t="s">
        <v>16</v>
      </c>
      <c r="N13" s="25" t="s">
        <v>17</v>
      </c>
      <c r="O13" s="25" t="s">
        <v>18</v>
      </c>
      <c r="P13" s="11"/>
      <c r="Q13" s="25" t="s">
        <v>19</v>
      </c>
      <c r="S13" s="8"/>
      <c r="T13" s="8"/>
      <c r="U13" s="8"/>
      <c r="V13" s="8"/>
      <c r="W13" s="8"/>
      <c r="X13" s="8"/>
    </row>
    <row r="14" ht="19.5" customHeight="1">
      <c r="A14" s="7"/>
      <c r="B14" s="26" t="s">
        <v>24</v>
      </c>
      <c r="C14" s="27"/>
      <c r="D14" s="28">
        <f>5000+5000</f>
        <v>10000</v>
      </c>
      <c r="E14" s="28">
        <v>10833.33</v>
      </c>
      <c r="F14" s="28">
        <v>10833.33</v>
      </c>
      <c r="G14" s="28">
        <v>10833.33</v>
      </c>
      <c r="H14" s="28">
        <v>10833.33</v>
      </c>
      <c r="I14" s="28">
        <v>10833.33</v>
      </c>
      <c r="J14" s="28">
        <v>10833.33</v>
      </c>
      <c r="K14" s="28">
        <v>10833.33</v>
      </c>
      <c r="L14" s="28">
        <v>10833.33</v>
      </c>
      <c r="M14" s="28">
        <v>10833.33</v>
      </c>
      <c r="N14" s="28">
        <v>10833.33</v>
      </c>
      <c r="O14" s="28">
        <v>10833.33</v>
      </c>
      <c r="P14" s="19"/>
      <c r="Q14" s="29">
        <f t="shared" ref="Q14:Q19" si="5">SUM(D14:O14)</f>
        <v>129166.63</v>
      </c>
      <c r="S14" s="7"/>
      <c r="T14" s="7"/>
      <c r="U14" s="7"/>
      <c r="V14" s="7"/>
    </row>
    <row r="15" ht="19.5" customHeight="1">
      <c r="A15" s="7"/>
      <c r="B15" s="26" t="s">
        <v>25</v>
      </c>
      <c r="C15" s="27"/>
      <c r="D15" s="28">
        <v>2500.0</v>
      </c>
      <c r="E15" s="28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0.0</v>
      </c>
      <c r="K15" s="29">
        <v>0.0</v>
      </c>
      <c r="L15" s="29">
        <v>0.0</v>
      </c>
      <c r="M15" s="29">
        <v>0.0</v>
      </c>
      <c r="N15" s="29">
        <v>0.0</v>
      </c>
      <c r="O15" s="28">
        <v>3000.0</v>
      </c>
      <c r="P15" s="19"/>
      <c r="Q15" s="29">
        <f t="shared" si="5"/>
        <v>5500</v>
      </c>
      <c r="S15" s="7"/>
      <c r="T15" s="7"/>
      <c r="U15" s="7"/>
      <c r="V15" s="7"/>
    </row>
    <row r="16" ht="19.5" customHeight="1">
      <c r="A16" s="7"/>
      <c r="B16" s="26" t="s">
        <v>26</v>
      </c>
      <c r="C16" s="27"/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0.0</v>
      </c>
      <c r="L16" s="29">
        <v>0.0</v>
      </c>
      <c r="M16" s="29">
        <v>0.0</v>
      </c>
      <c r="N16" s="29">
        <v>0.0</v>
      </c>
      <c r="O16" s="29">
        <v>0.0</v>
      </c>
      <c r="P16" s="19"/>
      <c r="Q16" s="29">
        <f t="shared" si="5"/>
        <v>0</v>
      </c>
      <c r="S16" s="7"/>
      <c r="T16" s="7"/>
      <c r="U16" s="7"/>
      <c r="V16" s="7"/>
    </row>
    <row r="17" ht="19.5" customHeight="1">
      <c r="A17" s="7"/>
      <c r="B17" s="26" t="s">
        <v>27</v>
      </c>
      <c r="C17" s="27"/>
      <c r="D17" s="29">
        <v>0.0</v>
      </c>
      <c r="E17" s="29">
        <v>0.0</v>
      </c>
      <c r="F17" s="29">
        <v>0.0</v>
      </c>
      <c r="G17" s="29">
        <v>0.0</v>
      </c>
      <c r="H17" s="29">
        <v>0.0</v>
      </c>
      <c r="I17" s="29">
        <v>0.0</v>
      </c>
      <c r="J17" s="29">
        <v>0.0</v>
      </c>
      <c r="K17" s="29">
        <v>0.0</v>
      </c>
      <c r="L17" s="29">
        <v>0.0</v>
      </c>
      <c r="M17" s="29">
        <v>0.0</v>
      </c>
      <c r="N17" s="29">
        <v>0.0</v>
      </c>
      <c r="O17" s="29">
        <v>0.0</v>
      </c>
      <c r="P17" s="19"/>
      <c r="Q17" s="29">
        <f t="shared" si="5"/>
        <v>0</v>
      </c>
      <c r="S17" s="7"/>
      <c r="T17" s="7"/>
      <c r="U17" s="7"/>
      <c r="V17" s="7"/>
    </row>
    <row r="18" ht="19.5" customHeight="1">
      <c r="A18" s="7"/>
      <c r="B18" s="26" t="s">
        <v>28</v>
      </c>
      <c r="C18" s="27"/>
      <c r="D18" s="28"/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0.0</v>
      </c>
      <c r="K18" s="29">
        <v>0.0</v>
      </c>
      <c r="L18" s="29">
        <v>0.0</v>
      </c>
      <c r="M18" s="29">
        <v>0.0</v>
      </c>
      <c r="N18" s="29">
        <v>0.0</v>
      </c>
      <c r="O18" s="29">
        <v>0.0</v>
      </c>
      <c r="P18" s="19"/>
      <c r="Q18" s="29">
        <f t="shared" si="5"/>
        <v>0</v>
      </c>
      <c r="S18" s="7"/>
      <c r="T18" s="7"/>
      <c r="U18" s="7"/>
      <c r="V18" s="7"/>
    </row>
    <row r="19" ht="19.5" customHeight="1">
      <c r="A19" s="7"/>
      <c r="B19" s="26" t="s">
        <v>29</v>
      </c>
      <c r="C19" s="27"/>
      <c r="D19" s="28">
        <v>0.0</v>
      </c>
      <c r="E19" s="28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0.0</v>
      </c>
      <c r="O19" s="29">
        <v>0.0</v>
      </c>
      <c r="P19" s="19"/>
      <c r="Q19" s="29">
        <f t="shared" si="5"/>
        <v>0</v>
      </c>
      <c r="S19" s="7"/>
      <c r="T19" s="7"/>
      <c r="U19" s="7"/>
      <c r="V19" s="7"/>
    </row>
    <row r="20" ht="19.5" customHeight="1">
      <c r="A20" s="7"/>
      <c r="B20" s="16" t="s">
        <v>30</v>
      </c>
      <c r="C20" s="17"/>
      <c r="D20" s="18">
        <f t="shared" ref="D20:O20" si="6">SUM(D14:D19)</f>
        <v>12500</v>
      </c>
      <c r="E20" s="18">
        <f t="shared" si="6"/>
        <v>10833.33</v>
      </c>
      <c r="F20" s="18">
        <f t="shared" si="6"/>
        <v>10833.33</v>
      </c>
      <c r="G20" s="18">
        <f t="shared" si="6"/>
        <v>10833.33</v>
      </c>
      <c r="H20" s="18">
        <f t="shared" si="6"/>
        <v>10833.33</v>
      </c>
      <c r="I20" s="18">
        <f t="shared" si="6"/>
        <v>10833.33</v>
      </c>
      <c r="J20" s="18">
        <f t="shared" si="6"/>
        <v>10833.33</v>
      </c>
      <c r="K20" s="18">
        <f t="shared" si="6"/>
        <v>10833.33</v>
      </c>
      <c r="L20" s="18">
        <f t="shared" si="6"/>
        <v>10833.33</v>
      </c>
      <c r="M20" s="18">
        <f t="shared" si="6"/>
        <v>10833.33</v>
      </c>
      <c r="N20" s="18">
        <f t="shared" si="6"/>
        <v>10833.33</v>
      </c>
      <c r="O20" s="18">
        <f t="shared" si="6"/>
        <v>13833.33</v>
      </c>
      <c r="P20" s="19"/>
      <c r="Q20" s="18">
        <f>SUM(Q14:Q19)</f>
        <v>134666.63</v>
      </c>
      <c r="S20" s="7"/>
      <c r="T20" s="7"/>
      <c r="U20" s="7"/>
      <c r="V20" s="7"/>
    </row>
    <row r="21" ht="19.5" customHeight="1">
      <c r="A21" s="7"/>
      <c r="B21" s="7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9"/>
      <c r="Q21" s="7"/>
      <c r="S21" s="7"/>
      <c r="T21" s="7"/>
      <c r="U21" s="7"/>
      <c r="V21" s="7"/>
    </row>
    <row r="22" ht="31.5" hidden="1" customHeight="1">
      <c r="A22" s="7"/>
      <c r="B22" s="24" t="s">
        <v>31</v>
      </c>
      <c r="C22" s="15" t="s">
        <v>6</v>
      </c>
      <c r="D22" s="15" t="s">
        <v>7</v>
      </c>
      <c r="E22" s="15" t="s">
        <v>8</v>
      </c>
      <c r="F22" s="15" t="s">
        <v>9</v>
      </c>
      <c r="G22" s="15" t="s">
        <v>10</v>
      </c>
      <c r="H22" s="15" t="s">
        <v>11</v>
      </c>
      <c r="I22" s="15" t="s">
        <v>12</v>
      </c>
      <c r="J22" s="15" t="s">
        <v>13</v>
      </c>
      <c r="K22" s="15" t="s">
        <v>14</v>
      </c>
      <c r="L22" s="15" t="s">
        <v>15</v>
      </c>
      <c r="M22" s="15" t="s">
        <v>16</v>
      </c>
      <c r="N22" s="15" t="s">
        <v>17</v>
      </c>
      <c r="O22" s="15" t="s">
        <v>18</v>
      </c>
      <c r="P22" s="19"/>
      <c r="Q22" s="25" t="s">
        <v>19</v>
      </c>
      <c r="S22" s="7"/>
      <c r="T22" s="7"/>
      <c r="U22" s="7"/>
      <c r="V22" s="7"/>
    </row>
    <row r="23" ht="19.5" hidden="1" customHeight="1">
      <c r="A23" s="30"/>
      <c r="B23" s="31" t="s">
        <v>32</v>
      </c>
      <c r="C23" s="27"/>
      <c r="D23" s="32">
        <v>0.0</v>
      </c>
      <c r="E23" s="32">
        <v>0.0</v>
      </c>
      <c r="F23" s="32">
        <v>0.0</v>
      </c>
      <c r="G23" s="33">
        <v>0.0</v>
      </c>
      <c r="H23" s="33">
        <v>0.0</v>
      </c>
      <c r="I23" s="33">
        <v>0.0</v>
      </c>
      <c r="J23" s="33">
        <v>0.0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  <c r="P23" s="19"/>
      <c r="Q23" s="33">
        <f t="shared" ref="Q23:Q27" si="7">SUM(D23:O23)</f>
        <v>0</v>
      </c>
      <c r="S23" s="30"/>
      <c r="T23" s="30"/>
      <c r="U23" s="30"/>
      <c r="V23" s="30"/>
    </row>
    <row r="24" ht="19.5" hidden="1" customHeight="1">
      <c r="A24" s="7"/>
      <c r="B24" s="31" t="s">
        <v>33</v>
      </c>
      <c r="C24" s="27"/>
      <c r="D24" s="32">
        <v>0.0</v>
      </c>
      <c r="E24" s="32">
        <v>0.0</v>
      </c>
      <c r="F24" s="32">
        <v>0.0</v>
      </c>
      <c r="G24" s="33">
        <v>0.0</v>
      </c>
      <c r="H24" s="33">
        <v>0.0</v>
      </c>
      <c r="I24" s="33">
        <v>0.0</v>
      </c>
      <c r="J24" s="33">
        <v>0.0</v>
      </c>
      <c r="K24" s="33">
        <v>0.0</v>
      </c>
      <c r="L24" s="33">
        <v>0.0</v>
      </c>
      <c r="M24" s="33">
        <v>0.0</v>
      </c>
      <c r="N24" s="33">
        <v>0.0</v>
      </c>
      <c r="O24" s="33">
        <v>0.0</v>
      </c>
      <c r="P24" s="34"/>
      <c r="Q24" s="33">
        <f t="shared" si="7"/>
        <v>0</v>
      </c>
      <c r="S24" s="7"/>
      <c r="T24" s="7"/>
      <c r="U24" s="7"/>
      <c r="V24" s="7"/>
    </row>
    <row r="25" ht="19.5" hidden="1" customHeight="1">
      <c r="A25" s="7"/>
      <c r="B25" s="31" t="s">
        <v>34</v>
      </c>
      <c r="C25" s="27"/>
      <c r="D25" s="32">
        <v>0.0</v>
      </c>
      <c r="E25" s="32">
        <v>0.0</v>
      </c>
      <c r="F25" s="32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4"/>
      <c r="Q25" s="33">
        <f t="shared" si="7"/>
        <v>0</v>
      </c>
      <c r="S25" s="7"/>
      <c r="T25" s="7"/>
      <c r="U25" s="7"/>
      <c r="V25" s="7"/>
    </row>
    <row r="26" ht="19.5" hidden="1" customHeight="1">
      <c r="A26" s="7"/>
      <c r="B26" s="31" t="s">
        <v>35</v>
      </c>
      <c r="C26" s="27"/>
      <c r="D26" s="32">
        <v>0.0</v>
      </c>
      <c r="E26" s="32">
        <v>0.0</v>
      </c>
      <c r="F26" s="32">
        <v>0.0</v>
      </c>
      <c r="G26" s="33">
        <v>0.0</v>
      </c>
      <c r="H26" s="33">
        <v>0.0</v>
      </c>
      <c r="I26" s="33">
        <v>0.0</v>
      </c>
      <c r="J26" s="33">
        <v>0.0</v>
      </c>
      <c r="K26" s="33">
        <v>0.0</v>
      </c>
      <c r="L26" s="33">
        <v>0.0</v>
      </c>
      <c r="M26" s="33">
        <v>0.0</v>
      </c>
      <c r="N26" s="33">
        <v>0.0</v>
      </c>
      <c r="O26" s="33">
        <v>0.0</v>
      </c>
      <c r="P26" s="34"/>
      <c r="Q26" s="33">
        <f t="shared" si="7"/>
        <v>0</v>
      </c>
      <c r="S26" s="7"/>
      <c r="T26" s="7"/>
      <c r="U26" s="7"/>
      <c r="V26" s="7"/>
    </row>
    <row r="27" ht="19.5" hidden="1" customHeight="1">
      <c r="A27" s="3"/>
      <c r="B27" s="31" t="s">
        <v>29</v>
      </c>
      <c r="C27" s="27"/>
      <c r="D27" s="32">
        <v>0.0</v>
      </c>
      <c r="E27" s="32">
        <v>0.0</v>
      </c>
      <c r="F27" s="32">
        <v>0.0</v>
      </c>
      <c r="G27" s="33">
        <v>0.0</v>
      </c>
      <c r="H27" s="33">
        <v>0.0</v>
      </c>
      <c r="I27" s="33">
        <v>0.0</v>
      </c>
      <c r="J27" s="33">
        <v>0.0</v>
      </c>
      <c r="K27" s="33">
        <v>0.0</v>
      </c>
      <c r="L27" s="33">
        <v>0.0</v>
      </c>
      <c r="M27" s="33">
        <v>0.0</v>
      </c>
      <c r="N27" s="33">
        <v>0.0</v>
      </c>
      <c r="O27" s="33">
        <v>0.0</v>
      </c>
      <c r="P27" s="34"/>
      <c r="Q27" s="33">
        <f t="shared" si="7"/>
        <v>0</v>
      </c>
      <c r="S27" s="3"/>
      <c r="T27" s="3"/>
      <c r="U27" s="3"/>
      <c r="V27" s="3"/>
    </row>
    <row r="28" ht="19.5" hidden="1" customHeight="1">
      <c r="A28" s="7"/>
      <c r="B28" s="16" t="s">
        <v>36</v>
      </c>
      <c r="C28" s="17"/>
      <c r="D28" s="18">
        <f t="shared" ref="D28:O28" si="8">SUM(D23:D27)</f>
        <v>0</v>
      </c>
      <c r="E28" s="18">
        <f t="shared" si="8"/>
        <v>0</v>
      </c>
      <c r="F28" s="18">
        <f t="shared" si="8"/>
        <v>0</v>
      </c>
      <c r="G28" s="18">
        <f t="shared" si="8"/>
        <v>0</v>
      </c>
      <c r="H28" s="18">
        <f t="shared" si="8"/>
        <v>0</v>
      </c>
      <c r="I28" s="18">
        <f t="shared" si="8"/>
        <v>0</v>
      </c>
      <c r="J28" s="18">
        <f t="shared" si="8"/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9"/>
      <c r="Q28" s="18">
        <f>SUM(Q23:Q27)</f>
        <v>0</v>
      </c>
      <c r="S28" s="7"/>
      <c r="T28" s="7"/>
      <c r="U28" s="7"/>
      <c r="V28" s="7"/>
    </row>
    <row r="29" ht="19.5" hidden="1" customHeight="1">
      <c r="A29" s="7"/>
      <c r="B29" s="7"/>
      <c r="C29" s="1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9"/>
      <c r="Q29" s="7"/>
      <c r="S29" s="7"/>
      <c r="T29" s="7"/>
      <c r="U29" s="7"/>
      <c r="V29" s="7"/>
    </row>
    <row r="30" ht="19.5" customHeight="1">
      <c r="A30" s="7"/>
      <c r="B30" s="16" t="s">
        <v>37</v>
      </c>
      <c r="C30" s="17"/>
      <c r="D30" s="18">
        <f t="shared" ref="D30:O30" si="9">D20-D28</f>
        <v>12500</v>
      </c>
      <c r="E30" s="18">
        <f t="shared" si="9"/>
        <v>10833.33</v>
      </c>
      <c r="F30" s="18">
        <f t="shared" si="9"/>
        <v>10833.33</v>
      </c>
      <c r="G30" s="18">
        <f t="shared" si="9"/>
        <v>10833.33</v>
      </c>
      <c r="H30" s="18">
        <f t="shared" si="9"/>
        <v>10833.33</v>
      </c>
      <c r="I30" s="18">
        <f t="shared" si="9"/>
        <v>10833.33</v>
      </c>
      <c r="J30" s="18">
        <f t="shared" si="9"/>
        <v>10833.33</v>
      </c>
      <c r="K30" s="18">
        <f t="shared" si="9"/>
        <v>10833.33</v>
      </c>
      <c r="L30" s="18">
        <f t="shared" si="9"/>
        <v>10833.33</v>
      </c>
      <c r="M30" s="18">
        <f t="shared" si="9"/>
        <v>10833.33</v>
      </c>
      <c r="N30" s="18">
        <f t="shared" si="9"/>
        <v>10833.33</v>
      </c>
      <c r="O30" s="18">
        <f t="shared" si="9"/>
        <v>13833.33</v>
      </c>
      <c r="P30" s="19"/>
      <c r="Q30" s="18">
        <f>Q20-Q28</f>
        <v>134666.63</v>
      </c>
      <c r="S30" s="7"/>
      <c r="T30" s="7"/>
      <c r="U30" s="7"/>
      <c r="V30" s="7"/>
    </row>
    <row r="31" ht="19.5" customHeight="1">
      <c r="A31" s="7"/>
      <c r="B31" s="7"/>
      <c r="C31" s="1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9"/>
      <c r="Q31" s="7"/>
      <c r="S31" s="7"/>
      <c r="T31" s="7"/>
      <c r="U31" s="7"/>
      <c r="V31" s="7"/>
    </row>
    <row r="32" ht="31.5" customHeight="1">
      <c r="A32" s="7"/>
      <c r="B32" s="35" t="s">
        <v>38</v>
      </c>
      <c r="C32" s="15" t="s">
        <v>6</v>
      </c>
      <c r="D32" s="15" t="s">
        <v>7</v>
      </c>
      <c r="E32" s="15" t="s">
        <v>8</v>
      </c>
      <c r="F32" s="15" t="s">
        <v>9</v>
      </c>
      <c r="G32" s="15" t="s">
        <v>10</v>
      </c>
      <c r="H32" s="15" t="s">
        <v>11</v>
      </c>
      <c r="I32" s="15" t="s">
        <v>12</v>
      </c>
      <c r="J32" s="15" t="s">
        <v>13</v>
      </c>
      <c r="K32" s="15" t="s">
        <v>14</v>
      </c>
      <c r="L32" s="15" t="s">
        <v>15</v>
      </c>
      <c r="M32" s="15" t="s">
        <v>16</v>
      </c>
      <c r="N32" s="15" t="s">
        <v>17</v>
      </c>
      <c r="O32" s="15" t="s">
        <v>18</v>
      </c>
      <c r="P32" s="19"/>
      <c r="Q32" s="25" t="s">
        <v>19</v>
      </c>
      <c r="S32" s="7"/>
      <c r="T32" s="7"/>
      <c r="U32" s="7"/>
      <c r="V32" s="7"/>
    </row>
    <row r="33" ht="19.5" customHeight="1">
      <c r="A33" s="36">
        <v>0.175</v>
      </c>
      <c r="B33" s="26" t="s">
        <v>39</v>
      </c>
      <c r="C33" s="27"/>
      <c r="D33" s="32">
        <f>900+450+900</f>
        <v>2250</v>
      </c>
      <c r="E33" s="32">
        <f t="shared" ref="E33:N33" si="10">E14*$A$33</f>
        <v>1895.83275</v>
      </c>
      <c r="F33" s="32">
        <f t="shared" si="10"/>
        <v>1895.83275</v>
      </c>
      <c r="G33" s="32">
        <f t="shared" si="10"/>
        <v>1895.83275</v>
      </c>
      <c r="H33" s="32">
        <f t="shared" si="10"/>
        <v>1895.83275</v>
      </c>
      <c r="I33" s="32">
        <f t="shared" si="10"/>
        <v>1895.83275</v>
      </c>
      <c r="J33" s="32">
        <f t="shared" si="10"/>
        <v>1895.83275</v>
      </c>
      <c r="K33" s="32">
        <f t="shared" si="10"/>
        <v>1895.83275</v>
      </c>
      <c r="L33" s="32">
        <f t="shared" si="10"/>
        <v>1895.83275</v>
      </c>
      <c r="M33" s="32">
        <f t="shared" si="10"/>
        <v>1895.83275</v>
      </c>
      <c r="N33" s="32">
        <f t="shared" si="10"/>
        <v>1895.83275</v>
      </c>
      <c r="O33" s="32">
        <f>(O14+O15)*$A$33</f>
        <v>2420.83275</v>
      </c>
      <c r="P33" s="19"/>
      <c r="Q33" s="33">
        <f t="shared" ref="Q33:Q36" si="12">SUM(D33:O33)</f>
        <v>23629.16025</v>
      </c>
      <c r="S33" s="30"/>
      <c r="T33" s="30"/>
      <c r="U33" s="30"/>
      <c r="V33" s="30"/>
    </row>
    <row r="34" ht="19.5" customHeight="1">
      <c r="A34" s="36">
        <v>0.1</v>
      </c>
      <c r="B34" s="26" t="s">
        <v>40</v>
      </c>
      <c r="C34" s="27"/>
      <c r="D34" s="32">
        <f>512+250+512</f>
        <v>1274</v>
      </c>
      <c r="E34" s="32">
        <f t="shared" ref="E34:O34" si="11">E14*$A$34</f>
        <v>1083.333</v>
      </c>
      <c r="F34" s="32">
        <f t="shared" si="11"/>
        <v>1083.333</v>
      </c>
      <c r="G34" s="32">
        <f t="shared" si="11"/>
        <v>1083.333</v>
      </c>
      <c r="H34" s="32">
        <f t="shared" si="11"/>
        <v>1083.333</v>
      </c>
      <c r="I34" s="32">
        <f t="shared" si="11"/>
        <v>1083.333</v>
      </c>
      <c r="J34" s="32">
        <f t="shared" si="11"/>
        <v>1083.333</v>
      </c>
      <c r="K34" s="32">
        <f t="shared" si="11"/>
        <v>1083.333</v>
      </c>
      <c r="L34" s="32">
        <f t="shared" si="11"/>
        <v>1083.333</v>
      </c>
      <c r="M34" s="32">
        <f t="shared" si="11"/>
        <v>1083.333</v>
      </c>
      <c r="N34" s="32">
        <f t="shared" si="11"/>
        <v>1083.333</v>
      </c>
      <c r="O34" s="32">
        <f t="shared" si="11"/>
        <v>1083.333</v>
      </c>
      <c r="P34" s="34"/>
      <c r="Q34" s="33">
        <f t="shared" si="12"/>
        <v>13190.663</v>
      </c>
      <c r="S34" s="7"/>
      <c r="T34" s="7"/>
      <c r="U34" s="7"/>
      <c r="V34" s="7"/>
    </row>
    <row r="35" ht="19.5" customHeight="1">
      <c r="A35" s="54"/>
      <c r="B35" s="94" t="s">
        <v>106</v>
      </c>
      <c r="C35" s="95"/>
      <c r="D35" s="96">
        <v>2400.0</v>
      </c>
      <c r="E35" s="97"/>
      <c r="F35" s="98">
        <v>0.0</v>
      </c>
      <c r="G35" s="98">
        <v>0.0</v>
      </c>
      <c r="H35" s="98">
        <v>0.0</v>
      </c>
      <c r="I35" s="98">
        <v>0.0</v>
      </c>
      <c r="J35" s="98">
        <v>0.0</v>
      </c>
      <c r="K35" s="98">
        <v>0.0</v>
      </c>
      <c r="L35" s="98">
        <v>0.0</v>
      </c>
      <c r="M35" s="98">
        <v>0.0</v>
      </c>
      <c r="N35" s="98">
        <v>0.0</v>
      </c>
      <c r="O35" s="98">
        <v>0.0</v>
      </c>
      <c r="P35" s="99"/>
      <c r="Q35" s="98">
        <f t="shared" si="12"/>
        <v>2400</v>
      </c>
      <c r="R35" s="60"/>
      <c r="S35" s="54"/>
      <c r="T35" s="54"/>
      <c r="U35" s="54"/>
      <c r="V35" s="54"/>
      <c r="W35" s="60"/>
      <c r="X35" s="60"/>
      <c r="Y35" s="60"/>
      <c r="Z35" s="60"/>
    </row>
    <row r="36" ht="19.5" customHeight="1">
      <c r="A36" s="3"/>
      <c r="B36" s="31" t="s">
        <v>29</v>
      </c>
      <c r="C36" s="27"/>
      <c r="D36" s="32">
        <v>0.0</v>
      </c>
      <c r="E36" s="32"/>
      <c r="F36" s="32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0.0</v>
      </c>
      <c r="O36" s="33">
        <v>0.0</v>
      </c>
      <c r="P36" s="34"/>
      <c r="Q36" s="33">
        <f t="shared" si="12"/>
        <v>0</v>
      </c>
      <c r="S36" s="3"/>
      <c r="T36" s="3"/>
      <c r="U36" s="3"/>
      <c r="V36" s="3"/>
    </row>
    <row r="37" ht="19.5" customHeight="1">
      <c r="A37" s="7"/>
      <c r="B37" s="16" t="s">
        <v>41</v>
      </c>
      <c r="C37" s="17"/>
      <c r="D37" s="18">
        <f t="shared" ref="D37:O37" si="13">SUM(D33:D36)</f>
        <v>5924</v>
      </c>
      <c r="E37" s="18">
        <f t="shared" si="13"/>
        <v>2979.16575</v>
      </c>
      <c r="F37" s="18">
        <f t="shared" si="13"/>
        <v>2979.16575</v>
      </c>
      <c r="G37" s="18">
        <f t="shared" si="13"/>
        <v>2979.16575</v>
      </c>
      <c r="H37" s="18">
        <f t="shared" si="13"/>
        <v>2979.16575</v>
      </c>
      <c r="I37" s="18">
        <f t="shared" si="13"/>
        <v>2979.16575</v>
      </c>
      <c r="J37" s="18">
        <f t="shared" si="13"/>
        <v>2979.16575</v>
      </c>
      <c r="K37" s="18">
        <f t="shared" si="13"/>
        <v>2979.16575</v>
      </c>
      <c r="L37" s="18">
        <f t="shared" si="13"/>
        <v>2979.16575</v>
      </c>
      <c r="M37" s="18">
        <f t="shared" si="13"/>
        <v>2979.16575</v>
      </c>
      <c r="N37" s="18">
        <f t="shared" si="13"/>
        <v>2979.16575</v>
      </c>
      <c r="O37" s="18">
        <f t="shared" si="13"/>
        <v>3504.16575</v>
      </c>
      <c r="P37" s="19"/>
      <c r="Q37" s="18">
        <f>SUM(Q33:Q36)</f>
        <v>39219.82325</v>
      </c>
      <c r="S37" s="7"/>
      <c r="T37" s="7"/>
      <c r="U37" s="7"/>
      <c r="V37" s="7"/>
    </row>
    <row r="38" ht="19.5" customHeight="1">
      <c r="A38" s="7"/>
      <c r="B38" s="7"/>
      <c r="C38" s="19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19"/>
      <c r="Q38" s="7"/>
      <c r="S38" s="7"/>
      <c r="T38" s="7"/>
      <c r="U38" s="7"/>
      <c r="V38" s="7"/>
    </row>
    <row r="39" ht="19.5" customHeight="1">
      <c r="A39" s="7"/>
      <c r="B39" s="16" t="s">
        <v>20</v>
      </c>
      <c r="C39" s="17"/>
      <c r="D39" s="18">
        <f t="shared" ref="D39:O39" si="14">D20-D28-D37</f>
        <v>6576</v>
      </c>
      <c r="E39" s="18">
        <f t="shared" si="14"/>
        <v>7854.16425</v>
      </c>
      <c r="F39" s="18">
        <f t="shared" si="14"/>
        <v>7854.16425</v>
      </c>
      <c r="G39" s="18">
        <f t="shared" si="14"/>
        <v>7854.16425</v>
      </c>
      <c r="H39" s="18">
        <f t="shared" si="14"/>
        <v>7854.16425</v>
      </c>
      <c r="I39" s="18">
        <f t="shared" si="14"/>
        <v>7854.16425</v>
      </c>
      <c r="J39" s="18">
        <f t="shared" si="14"/>
        <v>7854.16425</v>
      </c>
      <c r="K39" s="18">
        <f t="shared" si="14"/>
        <v>7854.16425</v>
      </c>
      <c r="L39" s="18">
        <f t="shared" si="14"/>
        <v>7854.16425</v>
      </c>
      <c r="M39" s="18">
        <f t="shared" si="14"/>
        <v>7854.16425</v>
      </c>
      <c r="N39" s="18">
        <f t="shared" si="14"/>
        <v>7854.16425</v>
      </c>
      <c r="O39" s="18">
        <f t="shared" si="14"/>
        <v>10329.16425</v>
      </c>
      <c r="P39" s="19"/>
      <c r="Q39" s="18">
        <f>Q20-Q28-Q37</f>
        <v>95446.80675</v>
      </c>
      <c r="S39" s="7"/>
      <c r="T39" s="7"/>
      <c r="U39" s="7"/>
      <c r="V39" s="7"/>
    </row>
    <row r="40" ht="19.5" customHeight="1">
      <c r="A40" s="7"/>
      <c r="B40" s="12"/>
      <c r="C40" s="19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9"/>
      <c r="Q40" s="13"/>
      <c r="S40" s="7"/>
      <c r="T40" s="7"/>
      <c r="U40" s="7"/>
      <c r="V40" s="7"/>
    </row>
    <row r="41" ht="31.5" customHeight="1">
      <c r="A41" s="7"/>
      <c r="B41" s="24" t="s">
        <v>42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8"/>
      <c r="P41" s="19"/>
      <c r="Q41" s="39"/>
      <c r="S41" s="7"/>
      <c r="T41" s="7"/>
      <c r="U41" s="7"/>
      <c r="V41" s="7"/>
    </row>
    <row r="42" ht="19.5" hidden="1" customHeight="1">
      <c r="A42" s="7"/>
      <c r="B42" s="40" t="s">
        <v>43</v>
      </c>
      <c r="C42" s="25" t="s">
        <v>6</v>
      </c>
      <c r="D42" s="41" t="s">
        <v>7</v>
      </c>
      <c r="E42" s="41" t="s">
        <v>8</v>
      </c>
      <c r="F42" s="41" t="s">
        <v>9</v>
      </c>
      <c r="G42" s="41" t="s">
        <v>10</v>
      </c>
      <c r="H42" s="41" t="s">
        <v>11</v>
      </c>
      <c r="I42" s="41" t="s">
        <v>12</v>
      </c>
      <c r="J42" s="41" t="s">
        <v>13</v>
      </c>
      <c r="K42" s="41" t="s">
        <v>14</v>
      </c>
      <c r="L42" s="41" t="s">
        <v>15</v>
      </c>
      <c r="M42" s="41" t="s">
        <v>16</v>
      </c>
      <c r="N42" s="41" t="s">
        <v>17</v>
      </c>
      <c r="O42" s="41" t="s">
        <v>18</v>
      </c>
      <c r="P42" s="19"/>
      <c r="Q42" s="25" t="s">
        <v>19</v>
      </c>
      <c r="S42" s="7"/>
      <c r="T42" s="7"/>
      <c r="U42" s="7"/>
      <c r="V42" s="7"/>
    </row>
    <row r="43" ht="19.5" hidden="1" customHeight="1">
      <c r="A43" s="7"/>
      <c r="B43" s="31" t="s">
        <v>44</v>
      </c>
      <c r="C43" s="27"/>
      <c r="D43" s="28">
        <v>0.0</v>
      </c>
      <c r="E43" s="28">
        <v>0.0</v>
      </c>
      <c r="F43" s="28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42"/>
      <c r="Q43" s="29">
        <f t="shared" ref="Q43:Q51" si="15">SUM(D43:O43)</f>
        <v>0</v>
      </c>
      <c r="R43" s="7"/>
      <c r="S43" s="7"/>
      <c r="T43" s="7"/>
      <c r="U43" s="7"/>
      <c r="V43" s="7"/>
      <c r="W43" s="7"/>
      <c r="X43" s="7"/>
    </row>
    <row r="44" ht="19.5" hidden="1" customHeight="1">
      <c r="A44" s="43"/>
      <c r="B44" s="31" t="s">
        <v>45</v>
      </c>
      <c r="C44" s="27"/>
      <c r="D44" s="29">
        <v>0.0</v>
      </c>
      <c r="E44" s="29">
        <v>0.0</v>
      </c>
      <c r="F44" s="29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19"/>
      <c r="Q44" s="29">
        <f t="shared" si="15"/>
        <v>0</v>
      </c>
      <c r="S44" s="43"/>
      <c r="T44" s="43"/>
      <c r="U44" s="43"/>
      <c r="V44" s="43"/>
      <c r="W44" s="43"/>
      <c r="X44" s="43"/>
      <c r="Y44" s="43"/>
      <c r="Z44" s="43"/>
    </row>
    <row r="45" ht="19.5" hidden="1" customHeight="1">
      <c r="A45" s="7"/>
      <c r="B45" s="31" t="s">
        <v>46</v>
      </c>
      <c r="C45" s="27"/>
      <c r="D45" s="28">
        <v>0.0</v>
      </c>
      <c r="E45" s="28">
        <v>0.0</v>
      </c>
      <c r="F45" s="28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42"/>
      <c r="Q45" s="29">
        <f t="shared" si="15"/>
        <v>0</v>
      </c>
      <c r="R45" s="7"/>
      <c r="S45" s="7"/>
      <c r="T45" s="7"/>
      <c r="U45" s="7"/>
      <c r="V45" s="7"/>
      <c r="W45" s="7"/>
      <c r="X45" s="7"/>
    </row>
    <row r="46" ht="19.5" hidden="1" customHeight="1">
      <c r="A46" s="7"/>
      <c r="B46" s="31" t="s">
        <v>47</v>
      </c>
      <c r="C46" s="27"/>
      <c r="D46" s="29">
        <v>0.0</v>
      </c>
      <c r="E46" s="29">
        <v>0.0</v>
      </c>
      <c r="F46" s="29">
        <v>0.0</v>
      </c>
      <c r="G46" s="29">
        <v>0.0</v>
      </c>
      <c r="H46" s="29">
        <v>0.0</v>
      </c>
      <c r="I46" s="29">
        <v>0.0</v>
      </c>
      <c r="J46" s="29">
        <v>0.0</v>
      </c>
      <c r="K46" s="29">
        <v>0.0</v>
      </c>
      <c r="L46" s="29">
        <v>0.0</v>
      </c>
      <c r="M46" s="29">
        <v>0.0</v>
      </c>
      <c r="N46" s="29">
        <v>0.0</v>
      </c>
      <c r="O46" s="29">
        <v>0.0</v>
      </c>
      <c r="P46" s="19"/>
      <c r="Q46" s="29">
        <f t="shared" si="15"/>
        <v>0</v>
      </c>
      <c r="S46" s="7"/>
      <c r="T46" s="7"/>
      <c r="U46" s="7"/>
      <c r="V46" s="7"/>
      <c r="W46" s="7"/>
      <c r="X46" s="7"/>
    </row>
    <row r="47" ht="19.5" hidden="1" customHeight="1">
      <c r="A47" s="7"/>
      <c r="B47" s="31" t="s">
        <v>48</v>
      </c>
      <c r="C47" s="27"/>
      <c r="D47" s="29">
        <v>0.0</v>
      </c>
      <c r="E47" s="29">
        <v>0.0</v>
      </c>
      <c r="F47" s="29">
        <v>0.0</v>
      </c>
      <c r="G47" s="29">
        <v>0.0</v>
      </c>
      <c r="H47" s="29">
        <v>0.0</v>
      </c>
      <c r="I47" s="29">
        <v>0.0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9">
        <v>0.0</v>
      </c>
      <c r="P47" s="19"/>
      <c r="Q47" s="29">
        <f t="shared" si="15"/>
        <v>0</v>
      </c>
      <c r="S47" s="7"/>
      <c r="T47" s="7"/>
      <c r="U47" s="7"/>
      <c r="V47" s="7"/>
      <c r="W47" s="7"/>
      <c r="X47" s="7"/>
    </row>
    <row r="48" ht="19.5" hidden="1" customHeight="1">
      <c r="A48" s="7"/>
      <c r="B48" s="31" t="s">
        <v>49</v>
      </c>
      <c r="C48" s="27"/>
      <c r="D48" s="29">
        <v>0.0</v>
      </c>
      <c r="E48" s="29">
        <v>0.0</v>
      </c>
      <c r="F48" s="29">
        <v>0.0</v>
      </c>
      <c r="G48" s="29">
        <v>0.0</v>
      </c>
      <c r="H48" s="29">
        <v>0.0</v>
      </c>
      <c r="I48" s="29">
        <v>0.0</v>
      </c>
      <c r="J48" s="29">
        <v>0.0</v>
      </c>
      <c r="K48" s="29">
        <v>0.0</v>
      </c>
      <c r="L48" s="29">
        <v>0.0</v>
      </c>
      <c r="M48" s="29">
        <v>0.0</v>
      </c>
      <c r="N48" s="29">
        <v>0.0</v>
      </c>
      <c r="O48" s="29">
        <v>0.0</v>
      </c>
      <c r="P48" s="42"/>
      <c r="Q48" s="29">
        <f t="shared" si="15"/>
        <v>0</v>
      </c>
      <c r="R48" s="7"/>
      <c r="S48" s="7"/>
      <c r="T48" s="7"/>
      <c r="U48" s="7"/>
      <c r="V48" s="7"/>
      <c r="W48" s="7"/>
      <c r="X48" s="7"/>
    </row>
    <row r="49" ht="19.5" hidden="1" customHeight="1">
      <c r="A49" s="43"/>
      <c r="B49" s="31" t="s">
        <v>50</v>
      </c>
      <c r="C49" s="27"/>
      <c r="D49" s="29">
        <v>0.0</v>
      </c>
      <c r="E49" s="29">
        <v>0.0</v>
      </c>
      <c r="F49" s="29">
        <v>0.0</v>
      </c>
      <c r="G49" s="29">
        <v>0.0</v>
      </c>
      <c r="H49" s="29">
        <v>0.0</v>
      </c>
      <c r="I49" s="29">
        <v>0.0</v>
      </c>
      <c r="J49" s="29">
        <v>0.0</v>
      </c>
      <c r="K49" s="29">
        <v>0.0</v>
      </c>
      <c r="L49" s="29">
        <v>0.0</v>
      </c>
      <c r="M49" s="29">
        <v>0.0</v>
      </c>
      <c r="N49" s="29">
        <v>0.0</v>
      </c>
      <c r="O49" s="29">
        <v>0.0</v>
      </c>
      <c r="P49" s="19"/>
      <c r="Q49" s="29">
        <f t="shared" si="15"/>
        <v>0</v>
      </c>
      <c r="S49" s="43"/>
      <c r="T49" s="43"/>
      <c r="U49" s="43"/>
      <c r="V49" s="43"/>
      <c r="W49" s="43"/>
      <c r="X49" s="43"/>
      <c r="Y49" s="43"/>
      <c r="Z49" s="43"/>
    </row>
    <row r="50" ht="19.5" hidden="1" customHeight="1">
      <c r="A50" s="7"/>
      <c r="B50" s="31" t="s">
        <v>51</v>
      </c>
      <c r="C50" s="27"/>
      <c r="D50" s="29">
        <v>0.0</v>
      </c>
      <c r="E50" s="28">
        <v>0.0</v>
      </c>
      <c r="F50" s="29">
        <v>0.0</v>
      </c>
      <c r="G50" s="29">
        <v>0.0</v>
      </c>
      <c r="H50" s="29">
        <v>0.0</v>
      </c>
      <c r="I50" s="29">
        <v>0.0</v>
      </c>
      <c r="J50" s="29">
        <v>0.0</v>
      </c>
      <c r="K50" s="29">
        <v>0.0</v>
      </c>
      <c r="L50" s="29">
        <v>0.0</v>
      </c>
      <c r="M50" s="29">
        <v>0.0</v>
      </c>
      <c r="N50" s="29">
        <v>0.0</v>
      </c>
      <c r="O50" s="29">
        <v>0.0</v>
      </c>
      <c r="P50" s="42"/>
      <c r="Q50" s="29">
        <f t="shared" si="15"/>
        <v>0</v>
      </c>
      <c r="R50" s="7"/>
      <c r="S50" s="7"/>
      <c r="T50" s="7"/>
      <c r="U50" s="7"/>
      <c r="V50" s="7"/>
      <c r="W50" s="7"/>
      <c r="X50" s="7"/>
    </row>
    <row r="51" ht="19.5" hidden="1" customHeight="1">
      <c r="A51" s="7"/>
      <c r="B51" s="31" t="s">
        <v>29</v>
      </c>
      <c r="C51" s="27"/>
      <c r="D51" s="29">
        <v>0.0</v>
      </c>
      <c r="E51" s="29">
        <v>0.0</v>
      </c>
      <c r="F51" s="29">
        <v>0.0</v>
      </c>
      <c r="G51" s="29">
        <v>0.0</v>
      </c>
      <c r="H51" s="29">
        <v>0.0</v>
      </c>
      <c r="I51" s="29">
        <v>0.0</v>
      </c>
      <c r="J51" s="29">
        <v>0.0</v>
      </c>
      <c r="K51" s="29">
        <v>0.0</v>
      </c>
      <c r="L51" s="29">
        <v>0.0</v>
      </c>
      <c r="M51" s="29">
        <v>0.0</v>
      </c>
      <c r="N51" s="29">
        <v>0.0</v>
      </c>
      <c r="O51" s="29">
        <v>0.0</v>
      </c>
      <c r="P51" s="19"/>
      <c r="Q51" s="29">
        <f t="shared" si="15"/>
        <v>0</v>
      </c>
      <c r="S51" s="7"/>
      <c r="T51" s="7"/>
      <c r="U51" s="7"/>
      <c r="V51" s="7"/>
      <c r="W51" s="7"/>
      <c r="X51" s="7"/>
    </row>
    <row r="52" ht="19.5" hidden="1" customHeight="1">
      <c r="A52" s="7"/>
      <c r="B52" s="16" t="s">
        <v>52</v>
      </c>
      <c r="C52" s="17"/>
      <c r="D52" s="18">
        <f t="shared" ref="D52:O52" si="16">SUM(D43:D51)</f>
        <v>0</v>
      </c>
      <c r="E52" s="18">
        <f t="shared" si="16"/>
        <v>0</v>
      </c>
      <c r="F52" s="18">
        <f t="shared" si="16"/>
        <v>0</v>
      </c>
      <c r="G52" s="18">
        <f t="shared" si="16"/>
        <v>0</v>
      </c>
      <c r="H52" s="18">
        <f t="shared" si="16"/>
        <v>0</v>
      </c>
      <c r="I52" s="18">
        <f t="shared" si="16"/>
        <v>0</v>
      </c>
      <c r="J52" s="18">
        <f t="shared" si="16"/>
        <v>0</v>
      </c>
      <c r="K52" s="18">
        <f t="shared" si="16"/>
        <v>0</v>
      </c>
      <c r="L52" s="18">
        <f t="shared" si="16"/>
        <v>0</v>
      </c>
      <c r="M52" s="18">
        <f t="shared" si="16"/>
        <v>0</v>
      </c>
      <c r="N52" s="18">
        <f t="shared" si="16"/>
        <v>0</v>
      </c>
      <c r="O52" s="18">
        <f t="shared" si="16"/>
        <v>0</v>
      </c>
      <c r="P52" s="42"/>
      <c r="Q52" s="18">
        <f>SUM(Q43:Q51)</f>
        <v>0</v>
      </c>
      <c r="R52" s="7"/>
      <c r="S52" s="7"/>
      <c r="T52" s="7"/>
      <c r="U52" s="7"/>
      <c r="V52" s="7"/>
      <c r="W52" s="7"/>
      <c r="X52" s="7"/>
    </row>
    <row r="53" ht="19.5" hidden="1" customHeight="1">
      <c r="A53" s="7"/>
      <c r="B53" s="44"/>
      <c r="C53" s="7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7"/>
      <c r="Q53" s="44"/>
      <c r="R53" s="7"/>
      <c r="S53" s="7"/>
      <c r="T53" s="7"/>
      <c r="U53" s="7"/>
      <c r="V53" s="7"/>
      <c r="W53" s="7"/>
      <c r="X53" s="7"/>
    </row>
    <row r="54" ht="19.5" hidden="1" customHeight="1">
      <c r="A54" s="7"/>
      <c r="B54" s="45" t="s">
        <v>53</v>
      </c>
      <c r="C54" s="25" t="s">
        <v>6</v>
      </c>
      <c r="D54" s="25" t="s">
        <v>7</v>
      </c>
      <c r="E54" s="25" t="s">
        <v>8</v>
      </c>
      <c r="F54" s="25" t="s">
        <v>9</v>
      </c>
      <c r="G54" s="25" t="s">
        <v>10</v>
      </c>
      <c r="H54" s="25" t="s">
        <v>11</v>
      </c>
      <c r="I54" s="25" t="s">
        <v>12</v>
      </c>
      <c r="J54" s="25" t="s">
        <v>13</v>
      </c>
      <c r="K54" s="25" t="s">
        <v>14</v>
      </c>
      <c r="L54" s="25" t="s">
        <v>15</v>
      </c>
      <c r="M54" s="25" t="s">
        <v>16</v>
      </c>
      <c r="N54" s="25" t="s">
        <v>17</v>
      </c>
      <c r="O54" s="25" t="s">
        <v>18</v>
      </c>
      <c r="P54" s="7"/>
      <c r="Q54" s="25" t="s">
        <v>19</v>
      </c>
      <c r="R54" s="7"/>
      <c r="S54" s="7"/>
      <c r="T54" s="7"/>
      <c r="U54" s="7"/>
      <c r="V54" s="7"/>
      <c r="W54" s="7"/>
      <c r="X54" s="7"/>
    </row>
    <row r="55" ht="19.5" hidden="1" customHeight="1">
      <c r="A55" s="7"/>
      <c r="B55" s="31" t="s">
        <v>54</v>
      </c>
      <c r="C55" s="27"/>
      <c r="D55" s="29">
        <v>0.0</v>
      </c>
      <c r="E55" s="28">
        <v>0.0</v>
      </c>
      <c r="F55" s="29">
        <v>0.0</v>
      </c>
      <c r="G55" s="29">
        <v>0.0</v>
      </c>
      <c r="H55" s="29">
        <v>0.0</v>
      </c>
      <c r="I55" s="29">
        <v>0.0</v>
      </c>
      <c r="J55" s="29">
        <v>0.0</v>
      </c>
      <c r="K55" s="29">
        <v>0.0</v>
      </c>
      <c r="L55" s="29">
        <v>0.0</v>
      </c>
      <c r="M55" s="29">
        <v>0.0</v>
      </c>
      <c r="N55" s="29">
        <v>0.0</v>
      </c>
      <c r="O55" s="29">
        <v>0.0</v>
      </c>
      <c r="P55" s="7"/>
      <c r="Q55" s="29">
        <f t="shared" ref="Q55:Q59" si="17">SUM(D55:O55)</f>
        <v>0</v>
      </c>
      <c r="R55" s="7"/>
      <c r="S55" s="7"/>
      <c r="T55" s="7"/>
      <c r="U55" s="7"/>
      <c r="V55" s="7"/>
      <c r="W55" s="7"/>
      <c r="X55" s="7"/>
    </row>
    <row r="56" ht="19.5" hidden="1" customHeight="1">
      <c r="A56" s="7"/>
      <c r="B56" s="31" t="s">
        <v>55</v>
      </c>
      <c r="C56" s="27"/>
      <c r="D56" s="29">
        <v>0.0</v>
      </c>
      <c r="E56" s="29">
        <v>0.0</v>
      </c>
      <c r="F56" s="29">
        <v>0.0</v>
      </c>
      <c r="G56" s="29">
        <v>0.0</v>
      </c>
      <c r="H56" s="29">
        <v>0.0</v>
      </c>
      <c r="I56" s="29">
        <v>0.0</v>
      </c>
      <c r="J56" s="29">
        <v>0.0</v>
      </c>
      <c r="K56" s="29">
        <v>0.0</v>
      </c>
      <c r="L56" s="29">
        <v>0.0</v>
      </c>
      <c r="M56" s="29">
        <v>0.0</v>
      </c>
      <c r="N56" s="29">
        <v>0.0</v>
      </c>
      <c r="O56" s="29">
        <v>0.0</v>
      </c>
      <c r="P56" s="7"/>
      <c r="Q56" s="29">
        <f t="shared" si="17"/>
        <v>0</v>
      </c>
      <c r="R56" s="7"/>
      <c r="S56" s="7"/>
      <c r="T56" s="7"/>
      <c r="U56" s="7"/>
      <c r="V56" s="7"/>
      <c r="W56" s="7"/>
      <c r="X56" s="7"/>
    </row>
    <row r="57" ht="19.5" hidden="1" customHeight="1">
      <c r="A57" s="7"/>
      <c r="B57" s="31" t="s">
        <v>56</v>
      </c>
      <c r="C57" s="27"/>
      <c r="D57" s="29">
        <v>0.0</v>
      </c>
      <c r="E57" s="29">
        <v>0.0</v>
      </c>
      <c r="F57" s="29">
        <v>0.0</v>
      </c>
      <c r="G57" s="29">
        <v>0.0</v>
      </c>
      <c r="H57" s="29">
        <v>0.0</v>
      </c>
      <c r="I57" s="29">
        <v>0.0</v>
      </c>
      <c r="J57" s="29">
        <v>0.0</v>
      </c>
      <c r="K57" s="29">
        <v>0.0</v>
      </c>
      <c r="L57" s="29">
        <v>0.0</v>
      </c>
      <c r="M57" s="29">
        <v>0.0</v>
      </c>
      <c r="N57" s="29">
        <v>0.0</v>
      </c>
      <c r="O57" s="29">
        <v>0.0</v>
      </c>
      <c r="P57" s="7"/>
      <c r="Q57" s="29">
        <f t="shared" si="17"/>
        <v>0</v>
      </c>
      <c r="R57" s="7"/>
      <c r="S57" s="7"/>
      <c r="T57" s="7"/>
      <c r="U57" s="7"/>
      <c r="V57" s="7"/>
      <c r="W57" s="7"/>
      <c r="X57" s="7"/>
    </row>
    <row r="58" ht="19.5" hidden="1" customHeight="1">
      <c r="A58" s="7"/>
      <c r="B58" s="31" t="s">
        <v>29</v>
      </c>
      <c r="C58" s="27"/>
      <c r="D58" s="29">
        <v>0.0</v>
      </c>
      <c r="E58" s="29">
        <v>0.0</v>
      </c>
      <c r="F58" s="29">
        <v>0.0</v>
      </c>
      <c r="G58" s="29">
        <v>0.0</v>
      </c>
      <c r="H58" s="29">
        <v>0.0</v>
      </c>
      <c r="I58" s="29">
        <v>0.0</v>
      </c>
      <c r="J58" s="29">
        <v>0.0</v>
      </c>
      <c r="K58" s="29">
        <v>0.0</v>
      </c>
      <c r="L58" s="29">
        <v>0.0</v>
      </c>
      <c r="M58" s="29">
        <v>0.0</v>
      </c>
      <c r="N58" s="29">
        <v>0.0</v>
      </c>
      <c r="O58" s="29">
        <v>0.0</v>
      </c>
      <c r="P58" s="7"/>
      <c r="Q58" s="29">
        <f t="shared" si="17"/>
        <v>0</v>
      </c>
      <c r="R58" s="7"/>
      <c r="S58" s="7"/>
      <c r="T58" s="7"/>
      <c r="U58" s="7"/>
      <c r="V58" s="7"/>
      <c r="W58" s="7"/>
      <c r="X58" s="7"/>
    </row>
    <row r="59" ht="19.5" hidden="1" customHeight="1">
      <c r="A59" s="7"/>
      <c r="B59" s="31" t="s">
        <v>29</v>
      </c>
      <c r="C59" s="27"/>
      <c r="D59" s="29">
        <v>0.0</v>
      </c>
      <c r="E59" s="29">
        <v>0.0</v>
      </c>
      <c r="F59" s="29">
        <v>0.0</v>
      </c>
      <c r="G59" s="29">
        <v>0.0</v>
      </c>
      <c r="H59" s="29">
        <v>0.0</v>
      </c>
      <c r="I59" s="29">
        <v>0.0</v>
      </c>
      <c r="J59" s="29">
        <v>0.0</v>
      </c>
      <c r="K59" s="29">
        <v>0.0</v>
      </c>
      <c r="L59" s="29">
        <v>0.0</v>
      </c>
      <c r="M59" s="29">
        <v>0.0</v>
      </c>
      <c r="N59" s="29">
        <v>0.0</v>
      </c>
      <c r="O59" s="29">
        <v>0.0</v>
      </c>
      <c r="P59" s="7"/>
      <c r="Q59" s="29">
        <f t="shared" si="17"/>
        <v>0</v>
      </c>
      <c r="R59" s="7"/>
      <c r="S59" s="7"/>
      <c r="T59" s="7"/>
      <c r="U59" s="7"/>
      <c r="V59" s="7"/>
      <c r="W59" s="7"/>
      <c r="X59" s="7"/>
    </row>
    <row r="60" ht="19.5" hidden="1" customHeight="1">
      <c r="A60" s="7"/>
      <c r="B60" s="16" t="s">
        <v>57</v>
      </c>
      <c r="C60" s="17"/>
      <c r="D60" s="18">
        <f t="shared" ref="D60:O60" si="18">SUM(D55:D59)</f>
        <v>0</v>
      </c>
      <c r="E60" s="18">
        <f t="shared" si="18"/>
        <v>0</v>
      </c>
      <c r="F60" s="18">
        <f t="shared" si="18"/>
        <v>0</v>
      </c>
      <c r="G60" s="18">
        <f t="shared" si="18"/>
        <v>0</v>
      </c>
      <c r="H60" s="18">
        <f t="shared" si="18"/>
        <v>0</v>
      </c>
      <c r="I60" s="18">
        <f t="shared" si="18"/>
        <v>0</v>
      </c>
      <c r="J60" s="18">
        <f t="shared" si="18"/>
        <v>0</v>
      </c>
      <c r="K60" s="18">
        <f t="shared" si="18"/>
        <v>0</v>
      </c>
      <c r="L60" s="18">
        <f t="shared" si="18"/>
        <v>0</v>
      </c>
      <c r="M60" s="18">
        <f t="shared" si="18"/>
        <v>0</v>
      </c>
      <c r="N60" s="18">
        <f t="shared" si="18"/>
        <v>0</v>
      </c>
      <c r="O60" s="18">
        <f t="shared" si="18"/>
        <v>0</v>
      </c>
      <c r="P60" s="7"/>
      <c r="Q60" s="18">
        <f>SUM(Q55:Q59)</f>
        <v>0</v>
      </c>
      <c r="R60" s="7"/>
      <c r="S60" s="7"/>
      <c r="T60" s="7"/>
      <c r="U60" s="7"/>
      <c r="V60" s="7"/>
      <c r="W60" s="7"/>
      <c r="X60" s="7"/>
    </row>
    <row r="61" ht="19.5" hidden="1" customHeight="1">
      <c r="A61" s="7"/>
      <c r="B61" s="44"/>
      <c r="C61" s="7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7"/>
      <c r="Q61" s="44"/>
      <c r="R61" s="7"/>
      <c r="S61" s="7"/>
      <c r="T61" s="7"/>
      <c r="U61" s="7"/>
      <c r="V61" s="7"/>
      <c r="W61" s="7"/>
      <c r="X61" s="7"/>
    </row>
    <row r="62" ht="19.5" customHeight="1">
      <c r="A62" s="7"/>
      <c r="B62" s="46" t="s">
        <v>58</v>
      </c>
      <c r="C62" s="25" t="s">
        <v>6</v>
      </c>
      <c r="D62" s="25" t="s">
        <v>7</v>
      </c>
      <c r="E62" s="25" t="s">
        <v>8</v>
      </c>
      <c r="F62" s="25" t="s">
        <v>9</v>
      </c>
      <c r="G62" s="25" t="s">
        <v>10</v>
      </c>
      <c r="H62" s="25" t="s">
        <v>11</v>
      </c>
      <c r="I62" s="25" t="s">
        <v>12</v>
      </c>
      <c r="J62" s="25" t="s">
        <v>13</v>
      </c>
      <c r="K62" s="25" t="s">
        <v>14</v>
      </c>
      <c r="L62" s="25" t="s">
        <v>15</v>
      </c>
      <c r="M62" s="25" t="s">
        <v>16</v>
      </c>
      <c r="N62" s="25" t="s">
        <v>17</v>
      </c>
      <c r="O62" s="25" t="s">
        <v>18</v>
      </c>
      <c r="P62" s="7"/>
      <c r="Q62" s="25" t="s">
        <v>19</v>
      </c>
      <c r="R62" s="7"/>
      <c r="S62" s="7"/>
      <c r="T62" s="7"/>
      <c r="U62" s="7"/>
      <c r="V62" s="7"/>
      <c r="W62" s="7"/>
      <c r="X62" s="7"/>
    </row>
    <row r="63" ht="19.5" customHeight="1">
      <c r="A63" s="7"/>
      <c r="B63" s="26" t="s">
        <v>59</v>
      </c>
      <c r="C63" s="27"/>
      <c r="D63" s="28">
        <v>1345.0</v>
      </c>
      <c r="E63" s="28">
        <v>1345.0</v>
      </c>
      <c r="F63" s="28">
        <v>1345.0</v>
      </c>
      <c r="G63" s="28">
        <v>1345.0</v>
      </c>
      <c r="H63" s="28">
        <v>1345.0</v>
      </c>
      <c r="I63" s="28">
        <v>1345.0</v>
      </c>
      <c r="J63" s="28">
        <v>1345.0</v>
      </c>
      <c r="K63" s="28">
        <v>1345.0</v>
      </c>
      <c r="L63" s="28">
        <v>1345.0</v>
      </c>
      <c r="M63" s="28">
        <v>1345.0</v>
      </c>
      <c r="N63" s="28">
        <v>1345.0</v>
      </c>
      <c r="O63" s="28">
        <v>1345.0</v>
      </c>
      <c r="P63" s="7"/>
      <c r="Q63" s="29">
        <f t="shared" ref="Q63:Q67" si="19">SUM(D63:O63)</f>
        <v>16140</v>
      </c>
      <c r="R63" s="7"/>
      <c r="S63" s="7"/>
      <c r="T63" s="7"/>
      <c r="U63" s="7"/>
      <c r="V63" s="7"/>
      <c r="W63" s="7"/>
      <c r="X63" s="7"/>
    </row>
    <row r="64" ht="19.5" customHeight="1">
      <c r="A64" s="7"/>
      <c r="B64" s="26" t="s">
        <v>60</v>
      </c>
      <c r="C64" s="27"/>
      <c r="D64" s="28">
        <v>435.0</v>
      </c>
      <c r="E64" s="28">
        <v>435.0</v>
      </c>
      <c r="F64" s="28">
        <v>435.0</v>
      </c>
      <c r="G64" s="28">
        <v>435.0</v>
      </c>
      <c r="H64" s="28">
        <v>435.0</v>
      </c>
      <c r="I64" s="28">
        <v>435.0</v>
      </c>
      <c r="J64" s="28">
        <v>435.0</v>
      </c>
      <c r="K64" s="28">
        <v>435.0</v>
      </c>
      <c r="L64" s="28">
        <v>435.0</v>
      </c>
      <c r="M64" s="28">
        <v>435.0</v>
      </c>
      <c r="N64" s="28">
        <v>435.0</v>
      </c>
      <c r="O64" s="28">
        <v>435.0</v>
      </c>
      <c r="P64" s="7"/>
      <c r="Q64" s="29">
        <f t="shared" si="19"/>
        <v>5220</v>
      </c>
      <c r="R64" s="7"/>
      <c r="S64" s="7"/>
      <c r="T64" s="7"/>
      <c r="U64" s="7"/>
      <c r="V64" s="7"/>
      <c r="W64" s="7"/>
      <c r="X64" s="7"/>
    </row>
    <row r="65" ht="19.5" customHeight="1">
      <c r="A65" s="7"/>
      <c r="B65" s="26" t="s">
        <v>61</v>
      </c>
      <c r="C65" s="27"/>
      <c r="D65" s="28">
        <v>400.0</v>
      </c>
      <c r="E65" s="28">
        <v>400.0</v>
      </c>
      <c r="F65" s="28">
        <v>400.0</v>
      </c>
      <c r="G65" s="28">
        <v>400.0</v>
      </c>
      <c r="H65" s="28">
        <v>400.0</v>
      </c>
      <c r="I65" s="28">
        <v>400.0</v>
      </c>
      <c r="J65" s="28">
        <v>400.0</v>
      </c>
      <c r="K65" s="28">
        <v>400.0</v>
      </c>
      <c r="L65" s="28">
        <v>400.0</v>
      </c>
      <c r="M65" s="28">
        <v>400.0</v>
      </c>
      <c r="N65" s="28">
        <v>400.0</v>
      </c>
      <c r="O65" s="28">
        <v>400.0</v>
      </c>
      <c r="P65" s="7"/>
      <c r="Q65" s="29">
        <f t="shared" si="19"/>
        <v>4800</v>
      </c>
      <c r="R65" s="7"/>
      <c r="S65" s="7"/>
      <c r="T65" s="7"/>
      <c r="U65" s="7"/>
      <c r="V65" s="7"/>
      <c r="W65" s="7"/>
      <c r="X65" s="7"/>
    </row>
    <row r="66" ht="19.5" customHeight="1">
      <c r="A66" s="7"/>
      <c r="B66" s="26" t="s">
        <v>62</v>
      </c>
      <c r="C66" s="27"/>
      <c r="D66" s="28">
        <v>200.0</v>
      </c>
      <c r="E66" s="28">
        <v>200.0</v>
      </c>
      <c r="F66" s="28">
        <v>200.0</v>
      </c>
      <c r="G66" s="28">
        <v>200.0</v>
      </c>
      <c r="H66" s="28">
        <v>200.0</v>
      </c>
      <c r="I66" s="28">
        <v>200.0</v>
      </c>
      <c r="J66" s="28">
        <v>200.0</v>
      </c>
      <c r="K66" s="28">
        <v>200.0</v>
      </c>
      <c r="L66" s="28">
        <v>200.0</v>
      </c>
      <c r="M66" s="28">
        <v>200.0</v>
      </c>
      <c r="N66" s="28">
        <v>200.0</v>
      </c>
      <c r="O66" s="28">
        <v>0.0</v>
      </c>
      <c r="P66" s="7"/>
      <c r="Q66" s="29">
        <f t="shared" si="19"/>
        <v>2200</v>
      </c>
      <c r="R66" s="7"/>
      <c r="S66" s="7"/>
      <c r="T66" s="7"/>
      <c r="U66" s="7"/>
      <c r="V66" s="7"/>
      <c r="W66" s="7"/>
      <c r="X66" s="7"/>
    </row>
    <row r="67" ht="19.5" customHeight="1">
      <c r="A67" s="7"/>
      <c r="B67" s="31" t="s">
        <v>29</v>
      </c>
      <c r="C67" s="27"/>
      <c r="D67" s="28">
        <v>0.0</v>
      </c>
      <c r="E67" s="28">
        <v>0.0</v>
      </c>
      <c r="F67" s="29">
        <v>0.0</v>
      </c>
      <c r="G67" s="29">
        <v>0.0</v>
      </c>
      <c r="H67" s="29">
        <v>0.0</v>
      </c>
      <c r="I67" s="29">
        <v>0.0</v>
      </c>
      <c r="J67" s="29">
        <v>0.0</v>
      </c>
      <c r="K67" s="29">
        <v>0.0</v>
      </c>
      <c r="L67" s="29">
        <v>0.0</v>
      </c>
      <c r="M67" s="29">
        <v>0.0</v>
      </c>
      <c r="N67" s="29">
        <v>0.0</v>
      </c>
      <c r="O67" s="29">
        <v>0.0</v>
      </c>
      <c r="P67" s="7"/>
      <c r="Q67" s="29">
        <f t="shared" si="19"/>
        <v>0</v>
      </c>
      <c r="R67" s="7"/>
      <c r="S67" s="7"/>
      <c r="T67" s="7"/>
      <c r="U67" s="7"/>
      <c r="V67" s="7"/>
      <c r="W67" s="7"/>
      <c r="X67" s="7"/>
    </row>
    <row r="68" ht="19.5" customHeight="1">
      <c r="A68" s="7"/>
      <c r="B68" s="16" t="s">
        <v>63</v>
      </c>
      <c r="C68" s="17"/>
      <c r="D68" s="18">
        <f t="shared" ref="D68:O68" si="20">SUM(D63:D67)</f>
        <v>2380</v>
      </c>
      <c r="E68" s="18">
        <f t="shared" si="20"/>
        <v>2380</v>
      </c>
      <c r="F68" s="18">
        <f t="shared" si="20"/>
        <v>2380</v>
      </c>
      <c r="G68" s="18">
        <f t="shared" si="20"/>
        <v>2380</v>
      </c>
      <c r="H68" s="18">
        <f t="shared" si="20"/>
        <v>2380</v>
      </c>
      <c r="I68" s="18">
        <f t="shared" si="20"/>
        <v>2380</v>
      </c>
      <c r="J68" s="18">
        <f t="shared" si="20"/>
        <v>2380</v>
      </c>
      <c r="K68" s="18">
        <f t="shared" si="20"/>
        <v>2380</v>
      </c>
      <c r="L68" s="18">
        <f t="shared" si="20"/>
        <v>2380</v>
      </c>
      <c r="M68" s="18">
        <f t="shared" si="20"/>
        <v>2380</v>
      </c>
      <c r="N68" s="18">
        <f t="shared" si="20"/>
        <v>2380</v>
      </c>
      <c r="O68" s="18">
        <f t="shared" si="20"/>
        <v>2180</v>
      </c>
      <c r="P68" s="7"/>
      <c r="Q68" s="18">
        <f>SUM(Q63:Q67)</f>
        <v>28360</v>
      </c>
      <c r="R68" s="7"/>
      <c r="S68" s="7"/>
      <c r="T68" s="7"/>
      <c r="U68" s="7"/>
      <c r="V68" s="7"/>
      <c r="W68" s="7"/>
      <c r="X68" s="7"/>
    </row>
    <row r="69" ht="19.5" customHeight="1">
      <c r="A69" s="7"/>
      <c r="B69" s="47"/>
      <c r="C69" s="48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7"/>
      <c r="Q69" s="44"/>
      <c r="R69" s="7"/>
      <c r="S69" s="7"/>
      <c r="T69" s="7"/>
      <c r="U69" s="7"/>
      <c r="V69" s="7"/>
      <c r="W69" s="7"/>
      <c r="X69" s="7"/>
    </row>
    <row r="70" ht="19.5" customHeight="1">
      <c r="A70" s="7"/>
      <c r="B70" s="45" t="s">
        <v>64</v>
      </c>
      <c r="C70" s="25" t="s">
        <v>6</v>
      </c>
      <c r="D70" s="25" t="s">
        <v>7</v>
      </c>
      <c r="E70" s="25" t="s">
        <v>8</v>
      </c>
      <c r="F70" s="25" t="s">
        <v>9</v>
      </c>
      <c r="G70" s="25" t="s">
        <v>10</v>
      </c>
      <c r="H70" s="25" t="s">
        <v>11</v>
      </c>
      <c r="I70" s="25" t="s">
        <v>12</v>
      </c>
      <c r="J70" s="25" t="s">
        <v>13</v>
      </c>
      <c r="K70" s="25" t="s">
        <v>14</v>
      </c>
      <c r="L70" s="25" t="s">
        <v>15</v>
      </c>
      <c r="M70" s="25" t="s">
        <v>16</v>
      </c>
      <c r="N70" s="25" t="s">
        <v>17</v>
      </c>
      <c r="O70" s="25" t="s">
        <v>18</v>
      </c>
      <c r="P70" s="7"/>
      <c r="Q70" s="25" t="s">
        <v>19</v>
      </c>
      <c r="R70" s="7"/>
      <c r="S70" s="7"/>
      <c r="T70" s="7"/>
      <c r="U70" s="7"/>
      <c r="V70" s="7"/>
      <c r="W70" s="7"/>
      <c r="X70" s="7"/>
    </row>
    <row r="71" ht="19.5" customHeight="1">
      <c r="A71" s="7"/>
      <c r="B71" s="31" t="s">
        <v>65</v>
      </c>
      <c r="C71" s="27"/>
      <c r="D71" s="28">
        <v>375.0</v>
      </c>
      <c r="E71" s="28">
        <v>375.0</v>
      </c>
      <c r="F71" s="28">
        <v>375.0</v>
      </c>
      <c r="G71" s="28">
        <v>850.0</v>
      </c>
      <c r="H71" s="28">
        <v>850.0</v>
      </c>
      <c r="I71" s="28">
        <v>850.0</v>
      </c>
      <c r="J71" s="28">
        <v>850.0</v>
      </c>
      <c r="K71" s="28">
        <v>850.0</v>
      </c>
      <c r="L71" s="28">
        <v>850.0</v>
      </c>
      <c r="M71" s="28">
        <v>850.0</v>
      </c>
      <c r="N71" s="28">
        <v>850.0</v>
      </c>
      <c r="O71" s="28">
        <v>850.0</v>
      </c>
      <c r="P71" s="7"/>
      <c r="Q71" s="29">
        <f t="shared" ref="Q71:Q81" si="21">SUM(D71:O71)</f>
        <v>8775</v>
      </c>
      <c r="R71" s="7"/>
      <c r="S71" s="7"/>
      <c r="T71" s="7"/>
      <c r="U71" s="7"/>
      <c r="V71" s="7"/>
      <c r="W71" s="7"/>
      <c r="X71" s="7"/>
    </row>
    <row r="72" ht="19.5" customHeight="1">
      <c r="A72" s="7"/>
      <c r="B72" s="26" t="s">
        <v>66</v>
      </c>
      <c r="C72" s="27"/>
      <c r="D72" s="28">
        <v>20.0</v>
      </c>
      <c r="E72" s="28">
        <v>20.0</v>
      </c>
      <c r="F72" s="28">
        <v>20.0</v>
      </c>
      <c r="G72" s="28">
        <v>20.0</v>
      </c>
      <c r="H72" s="28">
        <v>20.0</v>
      </c>
      <c r="I72" s="28">
        <v>20.0</v>
      </c>
      <c r="J72" s="28">
        <v>20.0</v>
      </c>
      <c r="K72" s="28">
        <v>20.0</v>
      </c>
      <c r="L72" s="28">
        <v>20.0</v>
      </c>
      <c r="M72" s="28">
        <v>20.0</v>
      </c>
      <c r="N72" s="28">
        <v>20.0</v>
      </c>
      <c r="O72" s="28">
        <v>20.0</v>
      </c>
      <c r="P72" s="7"/>
      <c r="Q72" s="29">
        <f t="shared" si="21"/>
        <v>240</v>
      </c>
      <c r="R72" s="7"/>
      <c r="S72" s="7"/>
      <c r="T72" s="7"/>
      <c r="U72" s="7"/>
      <c r="V72" s="7"/>
      <c r="W72" s="7"/>
      <c r="X72" s="7"/>
    </row>
    <row r="73" ht="19.5" customHeight="1">
      <c r="A73" s="7"/>
      <c r="B73" s="26" t="s">
        <v>67</v>
      </c>
      <c r="C73" s="27"/>
      <c r="D73" s="28">
        <v>12.5</v>
      </c>
      <c r="E73" s="28">
        <v>12.5</v>
      </c>
      <c r="F73" s="28">
        <v>12.5</v>
      </c>
      <c r="G73" s="28">
        <v>12.5</v>
      </c>
      <c r="H73" s="28">
        <v>12.5</v>
      </c>
      <c r="I73" s="28">
        <v>12.5</v>
      </c>
      <c r="J73" s="28">
        <v>12.5</v>
      </c>
      <c r="K73" s="28">
        <v>12.5</v>
      </c>
      <c r="L73" s="28">
        <v>12.5</v>
      </c>
      <c r="M73" s="28">
        <v>12.5</v>
      </c>
      <c r="N73" s="28">
        <v>12.5</v>
      </c>
      <c r="O73" s="28">
        <v>12.5</v>
      </c>
      <c r="P73" s="7"/>
      <c r="Q73" s="29">
        <f t="shared" si="21"/>
        <v>150</v>
      </c>
      <c r="R73" s="7"/>
      <c r="S73" s="7"/>
      <c r="T73" s="7"/>
      <c r="U73" s="7"/>
      <c r="V73" s="7"/>
      <c r="W73" s="7"/>
      <c r="X73" s="7"/>
    </row>
    <row r="74" ht="19.5" customHeight="1">
      <c r="A74" s="7"/>
      <c r="B74" s="31" t="s">
        <v>68</v>
      </c>
      <c r="C74" s="27"/>
      <c r="D74" s="28">
        <v>0.0</v>
      </c>
      <c r="E74" s="28">
        <v>100.0</v>
      </c>
      <c r="F74" s="28">
        <v>100.0</v>
      </c>
      <c r="G74" s="28">
        <v>100.0</v>
      </c>
      <c r="H74" s="28">
        <v>100.0</v>
      </c>
      <c r="I74" s="28">
        <v>100.0</v>
      </c>
      <c r="J74" s="28">
        <v>100.0</v>
      </c>
      <c r="K74" s="28">
        <v>100.0</v>
      </c>
      <c r="L74" s="28">
        <v>100.0</v>
      </c>
      <c r="M74" s="28">
        <v>100.0</v>
      </c>
      <c r="N74" s="28">
        <v>100.0</v>
      </c>
      <c r="O74" s="28">
        <v>100.0</v>
      </c>
      <c r="P74" s="7"/>
      <c r="Q74" s="29">
        <f t="shared" si="21"/>
        <v>1100</v>
      </c>
      <c r="R74" s="7"/>
      <c r="S74" s="7"/>
      <c r="T74" s="7"/>
      <c r="U74" s="7"/>
      <c r="V74" s="7"/>
      <c r="W74" s="7"/>
      <c r="X74" s="7"/>
    </row>
    <row r="75" ht="19.5" customHeight="1">
      <c r="A75" s="7"/>
      <c r="B75" s="31" t="s">
        <v>69</v>
      </c>
      <c r="C75" s="27"/>
      <c r="D75" s="28">
        <v>125.0</v>
      </c>
      <c r="E75" s="28">
        <v>150.0</v>
      </c>
      <c r="F75" s="28">
        <v>80.0</v>
      </c>
      <c r="G75" s="28">
        <v>80.0</v>
      </c>
      <c r="H75" s="28">
        <v>80.0</v>
      </c>
      <c r="I75" s="28">
        <v>80.0</v>
      </c>
      <c r="J75" s="28">
        <v>80.0</v>
      </c>
      <c r="K75" s="28">
        <v>80.0</v>
      </c>
      <c r="L75" s="28">
        <v>80.0</v>
      </c>
      <c r="M75" s="28">
        <v>80.0</v>
      </c>
      <c r="N75" s="28">
        <v>80.0</v>
      </c>
      <c r="O75" s="28">
        <v>80.0</v>
      </c>
      <c r="P75" s="7"/>
      <c r="Q75" s="29">
        <f t="shared" si="21"/>
        <v>1075</v>
      </c>
      <c r="R75" s="7"/>
      <c r="S75" s="7"/>
      <c r="T75" s="7"/>
      <c r="U75" s="7"/>
      <c r="V75" s="7"/>
      <c r="W75" s="7"/>
      <c r="X75" s="7"/>
    </row>
    <row r="76" ht="19.5" customHeight="1">
      <c r="A76" s="7"/>
      <c r="B76" s="31" t="s">
        <v>70</v>
      </c>
      <c r="C76" s="27"/>
      <c r="D76" s="28">
        <v>50.0</v>
      </c>
      <c r="E76" s="28">
        <v>50.0</v>
      </c>
      <c r="F76" s="28">
        <v>50.0</v>
      </c>
      <c r="G76" s="28">
        <v>50.0</v>
      </c>
      <c r="H76" s="28">
        <v>50.0</v>
      </c>
      <c r="I76" s="28">
        <v>50.0</v>
      </c>
      <c r="J76" s="28">
        <v>50.0</v>
      </c>
      <c r="K76" s="28">
        <v>50.0</v>
      </c>
      <c r="L76" s="28">
        <v>50.0</v>
      </c>
      <c r="M76" s="28">
        <v>50.0</v>
      </c>
      <c r="N76" s="28">
        <v>50.0</v>
      </c>
      <c r="O76" s="28">
        <v>50.0</v>
      </c>
      <c r="P76" s="7"/>
      <c r="Q76" s="29">
        <f t="shared" si="21"/>
        <v>600</v>
      </c>
      <c r="R76" s="7"/>
      <c r="S76" s="7"/>
      <c r="T76" s="7"/>
      <c r="U76" s="7"/>
      <c r="V76" s="7"/>
      <c r="W76" s="7"/>
      <c r="X76" s="7"/>
    </row>
    <row r="77" ht="19.5" customHeight="1">
      <c r="A77" s="7"/>
      <c r="B77" s="31" t="s">
        <v>71</v>
      </c>
      <c r="C77" s="27"/>
      <c r="D77" s="28">
        <v>20.0</v>
      </c>
      <c r="E77" s="28">
        <v>200.0</v>
      </c>
      <c r="F77" s="28">
        <v>20.0</v>
      </c>
      <c r="G77" s="28">
        <v>20.0</v>
      </c>
      <c r="H77" s="28">
        <v>20.0</v>
      </c>
      <c r="I77" s="28">
        <v>20.0</v>
      </c>
      <c r="J77" s="28">
        <v>20.0</v>
      </c>
      <c r="K77" s="28">
        <v>20.0</v>
      </c>
      <c r="L77" s="28">
        <v>20.0</v>
      </c>
      <c r="M77" s="28">
        <v>20.0</v>
      </c>
      <c r="N77" s="28">
        <v>20.0</v>
      </c>
      <c r="O77" s="28">
        <v>20.0</v>
      </c>
      <c r="P77" s="7"/>
      <c r="Q77" s="29">
        <f t="shared" si="21"/>
        <v>420</v>
      </c>
      <c r="R77" s="7"/>
      <c r="S77" s="7"/>
      <c r="T77" s="7"/>
      <c r="U77" s="7"/>
      <c r="V77" s="7"/>
      <c r="W77" s="7"/>
      <c r="X77" s="7"/>
    </row>
    <row r="78" ht="19.5" customHeight="1">
      <c r="A78" s="7"/>
      <c r="B78" s="31" t="s">
        <v>72</v>
      </c>
      <c r="C78" s="27"/>
      <c r="D78" s="28">
        <v>750.0</v>
      </c>
      <c r="E78" s="29">
        <v>0.0</v>
      </c>
      <c r="F78" s="29">
        <v>0.0</v>
      </c>
      <c r="G78" s="28">
        <v>250.0</v>
      </c>
      <c r="H78" s="29">
        <v>0.0</v>
      </c>
      <c r="I78" s="29">
        <v>0.0</v>
      </c>
      <c r="J78" s="29">
        <v>0.0</v>
      </c>
      <c r="K78" s="28">
        <v>250.0</v>
      </c>
      <c r="L78" s="29">
        <v>0.0</v>
      </c>
      <c r="M78" s="29">
        <v>0.0</v>
      </c>
      <c r="N78" s="28">
        <v>250.0</v>
      </c>
      <c r="O78" s="28">
        <v>250.0</v>
      </c>
      <c r="P78" s="7"/>
      <c r="Q78" s="29">
        <f t="shared" si="21"/>
        <v>1750</v>
      </c>
      <c r="R78" s="7"/>
      <c r="S78" s="7"/>
      <c r="T78" s="7"/>
      <c r="U78" s="7"/>
      <c r="V78" s="7"/>
      <c r="W78" s="7"/>
      <c r="X78" s="7"/>
    </row>
    <row r="79" ht="19.5" customHeight="1">
      <c r="A79" s="7"/>
      <c r="B79" s="26" t="s">
        <v>73</v>
      </c>
      <c r="C79" s="27"/>
      <c r="D79" s="28">
        <v>250.0</v>
      </c>
      <c r="E79" s="28">
        <v>500.0</v>
      </c>
      <c r="F79" s="28">
        <v>500.0</v>
      </c>
      <c r="G79" s="28">
        <v>500.0</v>
      </c>
      <c r="H79" s="28">
        <v>500.0</v>
      </c>
      <c r="I79" s="28">
        <v>500.0</v>
      </c>
      <c r="J79" s="28">
        <v>500.0</v>
      </c>
      <c r="K79" s="28">
        <v>500.0</v>
      </c>
      <c r="L79" s="28">
        <v>500.0</v>
      </c>
      <c r="M79" s="28">
        <v>500.0</v>
      </c>
      <c r="N79" s="28">
        <v>500.0</v>
      </c>
      <c r="O79" s="28">
        <v>500.0</v>
      </c>
      <c r="P79" s="7"/>
      <c r="Q79" s="29">
        <f t="shared" si="21"/>
        <v>5750</v>
      </c>
      <c r="R79" s="7"/>
      <c r="S79" s="7"/>
      <c r="T79" s="7"/>
      <c r="U79" s="7"/>
      <c r="V79" s="7"/>
      <c r="W79" s="7"/>
      <c r="X79" s="7"/>
    </row>
    <row r="80" ht="19.5" customHeight="1">
      <c r="A80" s="7"/>
      <c r="B80" s="26" t="s">
        <v>74</v>
      </c>
      <c r="C80" s="27"/>
      <c r="D80" s="28">
        <v>50.0</v>
      </c>
      <c r="E80" s="28">
        <v>100.0</v>
      </c>
      <c r="F80" s="28">
        <v>100.0</v>
      </c>
      <c r="G80" s="28">
        <v>100.0</v>
      </c>
      <c r="H80" s="28">
        <v>100.0</v>
      </c>
      <c r="I80" s="28">
        <v>100.0</v>
      </c>
      <c r="J80" s="28">
        <v>100.0</v>
      </c>
      <c r="K80" s="28">
        <v>100.0</v>
      </c>
      <c r="L80" s="28">
        <v>100.0</v>
      </c>
      <c r="M80" s="28">
        <v>100.0</v>
      </c>
      <c r="N80" s="28">
        <v>100.0</v>
      </c>
      <c r="O80" s="28">
        <v>100.0</v>
      </c>
      <c r="P80" s="7"/>
      <c r="Q80" s="29">
        <f t="shared" si="21"/>
        <v>1150</v>
      </c>
      <c r="R80" s="7"/>
      <c r="S80" s="7"/>
      <c r="T80" s="7"/>
      <c r="U80" s="7"/>
      <c r="V80" s="7"/>
      <c r="W80" s="7"/>
      <c r="X80" s="7"/>
    </row>
    <row r="81" ht="19.5" customHeight="1">
      <c r="A81" s="7"/>
      <c r="B81" s="31" t="s">
        <v>29</v>
      </c>
      <c r="C81" s="27"/>
      <c r="D81" s="28">
        <f>25+25+400+75</f>
        <v>525</v>
      </c>
      <c r="E81" s="28">
        <v>500.0</v>
      </c>
      <c r="F81" s="29">
        <v>0.0</v>
      </c>
      <c r="G81" s="29">
        <v>0.0</v>
      </c>
      <c r="H81" s="29">
        <v>0.0</v>
      </c>
      <c r="I81" s="29">
        <v>0.0</v>
      </c>
      <c r="J81" s="29">
        <v>0.0</v>
      </c>
      <c r="K81" s="29">
        <v>0.0</v>
      </c>
      <c r="L81" s="29">
        <v>0.0</v>
      </c>
      <c r="M81" s="29">
        <v>0.0</v>
      </c>
      <c r="N81" s="29">
        <v>0.0</v>
      </c>
      <c r="O81" s="29">
        <v>0.0</v>
      </c>
      <c r="P81" s="7"/>
      <c r="Q81" s="29">
        <f t="shared" si="21"/>
        <v>1025</v>
      </c>
      <c r="R81" s="7"/>
      <c r="S81" s="7"/>
      <c r="T81" s="7"/>
      <c r="U81" s="7"/>
      <c r="V81" s="7"/>
      <c r="W81" s="7"/>
      <c r="X81" s="7"/>
    </row>
    <row r="82" ht="19.5" customHeight="1">
      <c r="A82" s="7"/>
      <c r="B82" s="16" t="s">
        <v>75</v>
      </c>
      <c r="C82" s="17"/>
      <c r="D82" s="18">
        <f t="shared" ref="D82:O82" si="22">SUM(D71:D81)</f>
        <v>2177.5</v>
      </c>
      <c r="E82" s="18">
        <f t="shared" si="22"/>
        <v>2007.5</v>
      </c>
      <c r="F82" s="18">
        <f t="shared" si="22"/>
        <v>1257.5</v>
      </c>
      <c r="G82" s="18">
        <f t="shared" si="22"/>
        <v>1982.5</v>
      </c>
      <c r="H82" s="18">
        <f t="shared" si="22"/>
        <v>1732.5</v>
      </c>
      <c r="I82" s="18">
        <f t="shared" si="22"/>
        <v>1732.5</v>
      </c>
      <c r="J82" s="18">
        <f t="shared" si="22"/>
        <v>1732.5</v>
      </c>
      <c r="K82" s="18">
        <f t="shared" si="22"/>
        <v>1982.5</v>
      </c>
      <c r="L82" s="18">
        <f t="shared" si="22"/>
        <v>1732.5</v>
      </c>
      <c r="M82" s="18">
        <f t="shared" si="22"/>
        <v>1732.5</v>
      </c>
      <c r="N82" s="18">
        <f t="shared" si="22"/>
        <v>1982.5</v>
      </c>
      <c r="O82" s="18">
        <f t="shared" si="22"/>
        <v>1982.5</v>
      </c>
      <c r="P82" s="7"/>
      <c r="Q82" s="18">
        <f>SUM(Q71:Q81)</f>
        <v>22035</v>
      </c>
      <c r="R82" s="7"/>
      <c r="S82" s="7"/>
      <c r="T82" s="7"/>
      <c r="U82" s="7"/>
      <c r="V82" s="7"/>
      <c r="W82" s="7"/>
      <c r="X82" s="7"/>
    </row>
    <row r="83" ht="19.5" customHeight="1">
      <c r="A83" s="7"/>
      <c r="B83" s="44"/>
      <c r="C83" s="7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7"/>
      <c r="Q83" s="44"/>
      <c r="R83" s="7"/>
      <c r="S83" s="7"/>
      <c r="T83" s="7"/>
      <c r="U83" s="7"/>
      <c r="V83" s="7"/>
      <c r="W83" s="7"/>
      <c r="X83" s="7"/>
    </row>
    <row r="84" ht="19.5" customHeight="1">
      <c r="A84" s="7"/>
      <c r="B84" s="45" t="s">
        <v>76</v>
      </c>
      <c r="C84" s="25" t="s">
        <v>6</v>
      </c>
      <c r="D84" s="25" t="s">
        <v>7</v>
      </c>
      <c r="E84" s="25" t="s">
        <v>8</v>
      </c>
      <c r="F84" s="25" t="s">
        <v>9</v>
      </c>
      <c r="G84" s="25" t="s">
        <v>10</v>
      </c>
      <c r="H84" s="25" t="s">
        <v>11</v>
      </c>
      <c r="I84" s="25" t="s">
        <v>12</v>
      </c>
      <c r="J84" s="25" t="s">
        <v>13</v>
      </c>
      <c r="K84" s="25" t="s">
        <v>14</v>
      </c>
      <c r="L84" s="25" t="s">
        <v>15</v>
      </c>
      <c r="M84" s="25" t="s">
        <v>16</v>
      </c>
      <c r="N84" s="25" t="s">
        <v>17</v>
      </c>
      <c r="O84" s="25" t="s">
        <v>18</v>
      </c>
      <c r="P84" s="7"/>
      <c r="Q84" s="25" t="s">
        <v>19</v>
      </c>
      <c r="R84" s="7"/>
      <c r="S84" s="7"/>
      <c r="T84" s="7"/>
      <c r="U84" s="7"/>
      <c r="V84" s="7"/>
      <c r="W84" s="7"/>
      <c r="X84" s="7"/>
    </row>
    <row r="85" ht="19.5" customHeight="1">
      <c r="A85" s="7"/>
      <c r="B85" s="31" t="s">
        <v>77</v>
      </c>
      <c r="C85" s="27"/>
      <c r="D85" s="28">
        <v>200.0</v>
      </c>
      <c r="E85" s="28">
        <v>200.0</v>
      </c>
      <c r="F85" s="28">
        <v>100.0</v>
      </c>
      <c r="G85" s="28">
        <v>100.0</v>
      </c>
      <c r="H85" s="28">
        <v>100.0</v>
      </c>
      <c r="I85" s="28">
        <v>100.0</v>
      </c>
      <c r="J85" s="28">
        <v>100.0</v>
      </c>
      <c r="K85" s="28">
        <v>100.0</v>
      </c>
      <c r="L85" s="28">
        <v>100.0</v>
      </c>
      <c r="M85" s="28">
        <v>100.0</v>
      </c>
      <c r="N85" s="28">
        <v>100.0</v>
      </c>
      <c r="O85" s="28">
        <v>100.0</v>
      </c>
      <c r="P85" s="7"/>
      <c r="Q85" s="29">
        <f t="shared" ref="Q85:Q89" si="23">SUM(D85:O85)</f>
        <v>1400</v>
      </c>
      <c r="R85" s="7"/>
      <c r="S85" s="7"/>
      <c r="T85" s="7"/>
      <c r="U85" s="7"/>
      <c r="V85" s="7"/>
      <c r="W85" s="7"/>
      <c r="X85" s="7"/>
    </row>
    <row r="86" ht="19.5" customHeight="1">
      <c r="A86" s="7"/>
      <c r="B86" s="31" t="s">
        <v>78</v>
      </c>
      <c r="C86" s="27"/>
      <c r="D86" s="28">
        <v>0.0</v>
      </c>
      <c r="E86" s="28">
        <v>50.0</v>
      </c>
      <c r="F86" s="28">
        <v>50.0</v>
      </c>
      <c r="G86" s="28">
        <v>50.0</v>
      </c>
      <c r="H86" s="28">
        <v>50.0</v>
      </c>
      <c r="I86" s="28">
        <v>50.0</v>
      </c>
      <c r="J86" s="28">
        <v>50.0</v>
      </c>
      <c r="K86" s="28">
        <v>50.0</v>
      </c>
      <c r="L86" s="28">
        <v>50.0</v>
      </c>
      <c r="M86" s="28">
        <v>50.0</v>
      </c>
      <c r="N86" s="28">
        <v>50.0</v>
      </c>
      <c r="O86" s="28">
        <v>50.0</v>
      </c>
      <c r="P86" s="7"/>
      <c r="Q86" s="29">
        <f t="shared" si="23"/>
        <v>550</v>
      </c>
      <c r="R86" s="7"/>
      <c r="S86" s="7"/>
      <c r="T86" s="7"/>
      <c r="U86" s="7"/>
      <c r="V86" s="7"/>
      <c r="W86" s="7"/>
      <c r="X86" s="7"/>
    </row>
    <row r="87" ht="19.5" customHeight="1">
      <c r="A87" s="7"/>
      <c r="B87" s="31" t="s">
        <v>79</v>
      </c>
      <c r="C87" s="27"/>
      <c r="D87" s="28">
        <v>10.0</v>
      </c>
      <c r="E87" s="29">
        <v>0.0</v>
      </c>
      <c r="F87" s="29">
        <v>0.0</v>
      </c>
      <c r="G87" s="29">
        <v>0.0</v>
      </c>
      <c r="H87" s="29">
        <v>0.0</v>
      </c>
      <c r="I87" s="29">
        <v>0.0</v>
      </c>
      <c r="J87" s="29">
        <v>0.0</v>
      </c>
      <c r="K87" s="29">
        <v>0.0</v>
      </c>
      <c r="L87" s="29">
        <v>0.0</v>
      </c>
      <c r="M87" s="29">
        <v>0.0</v>
      </c>
      <c r="N87" s="29">
        <v>0.0</v>
      </c>
      <c r="O87" s="28">
        <v>50.0</v>
      </c>
      <c r="P87" s="7"/>
      <c r="Q87" s="29">
        <f t="shared" si="23"/>
        <v>60</v>
      </c>
      <c r="R87" s="7"/>
      <c r="S87" s="7"/>
      <c r="T87" s="7"/>
      <c r="U87" s="7"/>
      <c r="V87" s="7"/>
      <c r="W87" s="7"/>
      <c r="X87" s="7"/>
    </row>
    <row r="88" ht="19.5" customHeight="1">
      <c r="A88" s="7"/>
      <c r="B88" s="31" t="s">
        <v>80</v>
      </c>
      <c r="C88" s="27"/>
      <c r="D88" s="28">
        <v>50.0</v>
      </c>
      <c r="E88" s="28">
        <v>80.0</v>
      </c>
      <c r="F88" s="28">
        <v>80.0</v>
      </c>
      <c r="G88" s="28">
        <v>80.0</v>
      </c>
      <c r="H88" s="28">
        <v>80.0</v>
      </c>
      <c r="I88" s="28">
        <v>80.0</v>
      </c>
      <c r="J88" s="28">
        <v>80.0</v>
      </c>
      <c r="K88" s="28">
        <v>80.0</v>
      </c>
      <c r="L88" s="28">
        <v>80.0</v>
      </c>
      <c r="M88" s="28">
        <v>80.0</v>
      </c>
      <c r="N88" s="28">
        <v>80.0</v>
      </c>
      <c r="O88" s="28">
        <v>80.0</v>
      </c>
      <c r="P88" s="7"/>
      <c r="Q88" s="29">
        <f t="shared" si="23"/>
        <v>930</v>
      </c>
      <c r="R88" s="7"/>
      <c r="S88" s="7"/>
      <c r="T88" s="7"/>
      <c r="U88" s="7"/>
      <c r="V88" s="7"/>
      <c r="W88" s="7"/>
      <c r="X88" s="7"/>
    </row>
    <row r="89" ht="19.5" customHeight="1">
      <c r="A89" s="7"/>
      <c r="B89" s="31" t="s">
        <v>29</v>
      </c>
      <c r="C89" s="27"/>
      <c r="D89" s="28"/>
      <c r="E89" s="29">
        <v>0.0</v>
      </c>
      <c r="F89" s="29">
        <v>0.0</v>
      </c>
      <c r="G89" s="29">
        <v>0.0</v>
      </c>
      <c r="H89" s="29">
        <v>0.0</v>
      </c>
      <c r="I89" s="29">
        <v>0.0</v>
      </c>
      <c r="J89" s="29">
        <v>0.0</v>
      </c>
      <c r="K89" s="29">
        <v>0.0</v>
      </c>
      <c r="L89" s="29">
        <v>0.0</v>
      </c>
      <c r="M89" s="29">
        <v>0.0</v>
      </c>
      <c r="N89" s="29">
        <v>0.0</v>
      </c>
      <c r="O89" s="29">
        <v>0.0</v>
      </c>
      <c r="P89" s="7"/>
      <c r="Q89" s="29">
        <f t="shared" si="23"/>
        <v>0</v>
      </c>
      <c r="R89" s="7"/>
      <c r="S89" s="7"/>
      <c r="T89" s="7"/>
      <c r="U89" s="7"/>
      <c r="V89" s="7"/>
      <c r="W89" s="7"/>
      <c r="X89" s="7"/>
    </row>
    <row r="90" ht="19.5" customHeight="1">
      <c r="A90" s="7"/>
      <c r="B90" s="16" t="s">
        <v>81</v>
      </c>
      <c r="C90" s="17"/>
      <c r="D90" s="18">
        <f t="shared" ref="D90:O90" si="24">SUM(D85:D89)</f>
        <v>260</v>
      </c>
      <c r="E90" s="18">
        <f t="shared" si="24"/>
        <v>330</v>
      </c>
      <c r="F90" s="18">
        <f t="shared" si="24"/>
        <v>230</v>
      </c>
      <c r="G90" s="18">
        <f t="shared" si="24"/>
        <v>230</v>
      </c>
      <c r="H90" s="18">
        <f t="shared" si="24"/>
        <v>230</v>
      </c>
      <c r="I90" s="18">
        <f t="shared" si="24"/>
        <v>230</v>
      </c>
      <c r="J90" s="18">
        <f t="shared" si="24"/>
        <v>230</v>
      </c>
      <c r="K90" s="18">
        <f t="shared" si="24"/>
        <v>230</v>
      </c>
      <c r="L90" s="18">
        <f t="shared" si="24"/>
        <v>230</v>
      </c>
      <c r="M90" s="18">
        <f t="shared" si="24"/>
        <v>230</v>
      </c>
      <c r="N90" s="18">
        <f t="shared" si="24"/>
        <v>230</v>
      </c>
      <c r="O90" s="18">
        <f t="shared" si="24"/>
        <v>280</v>
      </c>
      <c r="P90" s="7"/>
      <c r="Q90" s="18">
        <f>SUM(Q85:Q89)</f>
        <v>2940</v>
      </c>
      <c r="R90" s="7"/>
      <c r="S90" s="7"/>
      <c r="T90" s="7"/>
      <c r="U90" s="7"/>
      <c r="V90" s="7"/>
      <c r="W90" s="7"/>
      <c r="X90" s="7"/>
    </row>
    <row r="91" ht="19.5" customHeight="1">
      <c r="A91" s="7"/>
      <c r="B91" s="44"/>
      <c r="C91" s="7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7"/>
      <c r="Q91" s="44"/>
      <c r="R91" s="7"/>
      <c r="S91" s="7"/>
      <c r="T91" s="7"/>
      <c r="U91" s="7"/>
      <c r="V91" s="7"/>
      <c r="W91" s="7"/>
      <c r="X91" s="7"/>
    </row>
    <row r="92" ht="31.5" customHeight="1">
      <c r="A92" s="7"/>
      <c r="B92" s="49" t="s">
        <v>82</v>
      </c>
      <c r="C92" s="25" t="s">
        <v>6</v>
      </c>
      <c r="D92" s="25" t="s">
        <v>7</v>
      </c>
      <c r="E92" s="25" t="s">
        <v>8</v>
      </c>
      <c r="F92" s="25" t="s">
        <v>9</v>
      </c>
      <c r="G92" s="25" t="s">
        <v>10</v>
      </c>
      <c r="H92" s="25" t="s">
        <v>11</v>
      </c>
      <c r="I92" s="25" t="s">
        <v>12</v>
      </c>
      <c r="J92" s="25" t="s">
        <v>13</v>
      </c>
      <c r="K92" s="25" t="s">
        <v>14</v>
      </c>
      <c r="L92" s="25" t="s">
        <v>15</v>
      </c>
      <c r="M92" s="25" t="s">
        <v>16</v>
      </c>
      <c r="N92" s="25" t="s">
        <v>17</v>
      </c>
      <c r="O92" s="25" t="s">
        <v>18</v>
      </c>
      <c r="P92" s="7"/>
      <c r="Q92" s="25" t="s">
        <v>19</v>
      </c>
      <c r="R92" s="7"/>
      <c r="S92" s="7"/>
      <c r="T92" s="7"/>
      <c r="U92" s="7"/>
      <c r="V92" s="7"/>
      <c r="W92" s="7"/>
      <c r="X92" s="7"/>
    </row>
    <row r="93" ht="19.5" customHeight="1">
      <c r="A93" s="36">
        <v>0.24</v>
      </c>
      <c r="B93" s="26" t="s">
        <v>83</v>
      </c>
      <c r="C93" s="27"/>
      <c r="D93" s="29">
        <f>1143+745+1143</f>
        <v>3031</v>
      </c>
      <c r="E93" s="29">
        <f t="shared" ref="E93:O93" si="25">sum(E14,E15)*$A$93</f>
        <v>2599.9992</v>
      </c>
      <c r="F93" s="29">
        <f t="shared" si="25"/>
        <v>2599.9992</v>
      </c>
      <c r="G93" s="29">
        <f t="shared" si="25"/>
        <v>2599.9992</v>
      </c>
      <c r="H93" s="29">
        <f t="shared" si="25"/>
        <v>2599.9992</v>
      </c>
      <c r="I93" s="29">
        <f t="shared" si="25"/>
        <v>2599.9992</v>
      </c>
      <c r="J93" s="29">
        <f t="shared" si="25"/>
        <v>2599.9992</v>
      </c>
      <c r="K93" s="29">
        <f t="shared" si="25"/>
        <v>2599.9992</v>
      </c>
      <c r="L93" s="29">
        <f t="shared" si="25"/>
        <v>2599.9992</v>
      </c>
      <c r="M93" s="29">
        <f t="shared" si="25"/>
        <v>2599.9992</v>
      </c>
      <c r="N93" s="29">
        <f t="shared" si="25"/>
        <v>2599.9992</v>
      </c>
      <c r="O93" s="29">
        <f t="shared" si="25"/>
        <v>3319.9992</v>
      </c>
      <c r="P93" s="7"/>
      <c r="Q93" s="29">
        <f t="shared" ref="Q93:Q94" si="26">SUM(D93:O93)</f>
        <v>32350.9912</v>
      </c>
      <c r="R93" s="7"/>
      <c r="S93" s="7"/>
      <c r="T93" s="7"/>
      <c r="U93" s="7"/>
      <c r="V93" s="7"/>
      <c r="W93" s="7"/>
      <c r="X93" s="7"/>
    </row>
    <row r="94" ht="19.5" customHeight="1">
      <c r="A94" s="7"/>
      <c r="B94" s="31" t="s">
        <v>29</v>
      </c>
      <c r="C94" s="27"/>
      <c r="D94" s="29">
        <v>0.0</v>
      </c>
      <c r="E94" s="29">
        <v>0.0</v>
      </c>
      <c r="F94" s="29">
        <v>0.0</v>
      </c>
      <c r="G94" s="29">
        <v>0.0</v>
      </c>
      <c r="H94" s="29">
        <v>0.0</v>
      </c>
      <c r="I94" s="29">
        <v>0.0</v>
      </c>
      <c r="J94" s="29">
        <v>0.0</v>
      </c>
      <c r="K94" s="29">
        <v>0.0</v>
      </c>
      <c r="L94" s="29">
        <v>0.0</v>
      </c>
      <c r="M94" s="29">
        <v>0.0</v>
      </c>
      <c r="N94" s="29">
        <v>0.0</v>
      </c>
      <c r="O94" s="29">
        <v>0.0</v>
      </c>
      <c r="P94" s="7"/>
      <c r="Q94" s="29">
        <f t="shared" si="26"/>
        <v>0</v>
      </c>
      <c r="R94" s="7"/>
      <c r="S94" s="7"/>
      <c r="T94" s="7"/>
      <c r="U94" s="7"/>
      <c r="V94" s="7"/>
      <c r="W94" s="7"/>
      <c r="X94" s="7"/>
    </row>
    <row r="95" ht="19.5" customHeight="1">
      <c r="A95" s="7"/>
      <c r="B95" s="16" t="s">
        <v>84</v>
      </c>
      <c r="C95" s="17"/>
      <c r="D95" s="18">
        <f t="shared" ref="D95:O95" si="27">SUM(D93:D94)</f>
        <v>3031</v>
      </c>
      <c r="E95" s="18">
        <f t="shared" si="27"/>
        <v>2599.9992</v>
      </c>
      <c r="F95" s="18">
        <f t="shared" si="27"/>
        <v>2599.9992</v>
      </c>
      <c r="G95" s="18">
        <f t="shared" si="27"/>
        <v>2599.9992</v>
      </c>
      <c r="H95" s="18">
        <f t="shared" si="27"/>
        <v>2599.9992</v>
      </c>
      <c r="I95" s="18">
        <f t="shared" si="27"/>
        <v>2599.9992</v>
      </c>
      <c r="J95" s="18">
        <f t="shared" si="27"/>
        <v>2599.9992</v>
      </c>
      <c r="K95" s="18">
        <f t="shared" si="27"/>
        <v>2599.9992</v>
      </c>
      <c r="L95" s="18">
        <f t="shared" si="27"/>
        <v>2599.9992</v>
      </c>
      <c r="M95" s="18">
        <f t="shared" si="27"/>
        <v>2599.9992</v>
      </c>
      <c r="N95" s="18">
        <f t="shared" si="27"/>
        <v>2599.9992</v>
      </c>
      <c r="O95" s="18">
        <f t="shared" si="27"/>
        <v>3319.9992</v>
      </c>
      <c r="P95" s="7"/>
      <c r="Q95" s="18">
        <f>SUM(Q93:Q94)</f>
        <v>32350.9912</v>
      </c>
      <c r="R95" s="7"/>
      <c r="S95" s="7"/>
      <c r="T95" s="7"/>
      <c r="U95" s="7"/>
      <c r="V95" s="7"/>
      <c r="W95" s="7"/>
      <c r="X95" s="7"/>
    </row>
    <row r="96" ht="19.5" customHeight="1">
      <c r="A96" s="7"/>
      <c r="B96" s="44"/>
      <c r="C96" s="7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7"/>
      <c r="Q96" s="44"/>
      <c r="R96" s="7"/>
      <c r="S96" s="7"/>
      <c r="T96" s="7"/>
      <c r="U96" s="7"/>
      <c r="V96" s="7"/>
      <c r="W96" s="7"/>
      <c r="X96" s="7"/>
    </row>
    <row r="97" ht="19.5" customHeight="1">
      <c r="A97" s="7"/>
      <c r="B97" s="16" t="s">
        <v>21</v>
      </c>
      <c r="C97" s="17"/>
      <c r="D97" s="18">
        <f t="shared" ref="D97:O97" si="28">SUM(D52,D60,D68,D82,D90,D95)</f>
        <v>7848.5</v>
      </c>
      <c r="E97" s="18">
        <f t="shared" si="28"/>
        <v>7317.4992</v>
      </c>
      <c r="F97" s="18">
        <f t="shared" si="28"/>
        <v>6467.4992</v>
      </c>
      <c r="G97" s="18">
        <f t="shared" si="28"/>
        <v>7192.4992</v>
      </c>
      <c r="H97" s="18">
        <f t="shared" si="28"/>
        <v>6942.4992</v>
      </c>
      <c r="I97" s="18">
        <f t="shared" si="28"/>
        <v>6942.4992</v>
      </c>
      <c r="J97" s="18">
        <f t="shared" si="28"/>
        <v>6942.4992</v>
      </c>
      <c r="K97" s="18">
        <f t="shared" si="28"/>
        <v>7192.4992</v>
      </c>
      <c r="L97" s="18">
        <f t="shared" si="28"/>
        <v>6942.4992</v>
      </c>
      <c r="M97" s="18">
        <f t="shared" si="28"/>
        <v>6942.4992</v>
      </c>
      <c r="N97" s="18">
        <f t="shared" si="28"/>
        <v>7192.4992</v>
      </c>
      <c r="O97" s="18">
        <f t="shared" si="28"/>
        <v>7762.4992</v>
      </c>
      <c r="P97" s="7"/>
      <c r="Q97" s="18">
        <f>SUM(Q52,Q60,Q68,Q82,Q90,Q95)</f>
        <v>85685.9912</v>
      </c>
      <c r="R97" s="7"/>
      <c r="S97" s="7"/>
      <c r="T97" s="7"/>
      <c r="U97" s="7"/>
      <c r="V97" s="7"/>
      <c r="W97" s="7"/>
      <c r="X97" s="7"/>
    </row>
    <row r="98" ht="19.5" customHeight="1">
      <c r="A98" s="7"/>
      <c r="B98" s="50"/>
      <c r="C98" s="7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7"/>
      <c r="Q98" s="42"/>
      <c r="R98" s="7"/>
      <c r="S98" s="7"/>
      <c r="T98" s="7"/>
      <c r="U98" s="7"/>
      <c r="V98" s="7"/>
      <c r="W98" s="7"/>
      <c r="X98" s="7"/>
    </row>
    <row r="99" ht="49.5" customHeight="1">
      <c r="A99" s="43"/>
      <c r="B99" s="51" t="s">
        <v>85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3"/>
      <c r="R99" s="43"/>
      <c r="S99" s="43"/>
      <c r="T99" s="43"/>
      <c r="U99" s="43"/>
      <c r="V99" s="43"/>
      <c r="W99" s="43"/>
      <c r="X99" s="43"/>
      <c r="Y99" s="43"/>
      <c r="Z99" s="43"/>
    </row>
    <row r="100" ht="15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5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5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30.0" customHeight="1">
      <c r="A103" s="54"/>
      <c r="B103" s="55" t="s">
        <v>86</v>
      </c>
      <c r="C103" s="56" t="s">
        <v>87</v>
      </c>
      <c r="D103" s="57" t="s">
        <v>7</v>
      </c>
      <c r="E103" s="57" t="s">
        <v>8</v>
      </c>
      <c r="F103" s="57" t="s">
        <v>9</v>
      </c>
      <c r="G103" s="57" t="s">
        <v>10</v>
      </c>
      <c r="H103" s="57" t="s">
        <v>11</v>
      </c>
      <c r="I103" s="57" t="s">
        <v>12</v>
      </c>
      <c r="J103" s="57" t="s">
        <v>13</v>
      </c>
      <c r="K103" s="57" t="s">
        <v>14</v>
      </c>
      <c r="L103" s="57" t="s">
        <v>15</v>
      </c>
      <c r="M103" s="57" t="s">
        <v>16</v>
      </c>
      <c r="N103" s="57" t="s">
        <v>17</v>
      </c>
      <c r="O103" s="57" t="s">
        <v>18</v>
      </c>
      <c r="P103" s="58"/>
      <c r="Q103" s="59" t="s">
        <v>88</v>
      </c>
      <c r="R103" s="54"/>
      <c r="S103" s="54"/>
      <c r="T103" s="54"/>
      <c r="U103" s="54"/>
      <c r="V103" s="54"/>
      <c r="W103" s="54"/>
      <c r="X103" s="54"/>
      <c r="Y103" s="60"/>
      <c r="Z103" s="60"/>
    </row>
    <row r="104" ht="19.5" customHeight="1">
      <c r="A104" s="7"/>
      <c r="B104" s="61" t="s">
        <v>89</v>
      </c>
      <c r="C104" s="62">
        <v>57000.0</v>
      </c>
      <c r="D104" s="63">
        <f>C104-D63-D67</f>
        <v>55655</v>
      </c>
      <c r="E104" s="63">
        <f t="shared" ref="E104:O104" si="29">D104-E63</f>
        <v>54310</v>
      </c>
      <c r="F104" s="63">
        <f t="shared" si="29"/>
        <v>52965</v>
      </c>
      <c r="G104" s="63">
        <f t="shared" si="29"/>
        <v>51620</v>
      </c>
      <c r="H104" s="63">
        <f t="shared" si="29"/>
        <v>50275</v>
      </c>
      <c r="I104" s="63">
        <f t="shared" si="29"/>
        <v>48930</v>
      </c>
      <c r="J104" s="63">
        <f t="shared" si="29"/>
        <v>47585</v>
      </c>
      <c r="K104" s="63">
        <f t="shared" si="29"/>
        <v>46240</v>
      </c>
      <c r="L104" s="63">
        <f t="shared" si="29"/>
        <v>44895</v>
      </c>
      <c r="M104" s="63">
        <f t="shared" si="29"/>
        <v>43550</v>
      </c>
      <c r="N104" s="63">
        <f t="shared" si="29"/>
        <v>42205</v>
      </c>
      <c r="O104" s="63">
        <f t="shared" si="29"/>
        <v>40860</v>
      </c>
      <c r="P104" s="64"/>
      <c r="Q104" s="65">
        <f t="shared" ref="Q104:Q105" si="31">Q63</f>
        <v>16140</v>
      </c>
      <c r="R104" s="66"/>
      <c r="S104" s="7"/>
      <c r="T104" s="7"/>
      <c r="U104" s="7"/>
      <c r="V104" s="7"/>
      <c r="W104" s="7"/>
      <c r="X104" s="7"/>
    </row>
    <row r="105" ht="19.5" customHeight="1">
      <c r="A105" s="7"/>
      <c r="B105" s="26" t="s">
        <v>61</v>
      </c>
      <c r="C105" s="62">
        <v>8500.0</v>
      </c>
      <c r="D105" s="63">
        <f t="shared" ref="D105:O105" si="30">C105-D65</f>
        <v>8100</v>
      </c>
      <c r="E105" s="63">
        <f t="shared" si="30"/>
        <v>7700</v>
      </c>
      <c r="F105" s="63">
        <f t="shared" si="30"/>
        <v>7300</v>
      </c>
      <c r="G105" s="63">
        <f t="shared" si="30"/>
        <v>6900</v>
      </c>
      <c r="H105" s="63">
        <f t="shared" si="30"/>
        <v>6500</v>
      </c>
      <c r="I105" s="63">
        <f t="shared" si="30"/>
        <v>6100</v>
      </c>
      <c r="J105" s="63">
        <f t="shared" si="30"/>
        <v>5700</v>
      </c>
      <c r="K105" s="63">
        <f t="shared" si="30"/>
        <v>5300</v>
      </c>
      <c r="L105" s="63">
        <f t="shared" si="30"/>
        <v>4900</v>
      </c>
      <c r="M105" s="63">
        <f t="shared" si="30"/>
        <v>4500</v>
      </c>
      <c r="N105" s="63">
        <f t="shared" si="30"/>
        <v>4100</v>
      </c>
      <c r="O105" s="63">
        <f t="shared" si="30"/>
        <v>3700</v>
      </c>
      <c r="P105" s="64"/>
      <c r="Q105" s="65">
        <f t="shared" si="31"/>
        <v>5220</v>
      </c>
      <c r="R105" s="66"/>
      <c r="S105" s="7"/>
      <c r="T105" s="7"/>
      <c r="U105" s="7"/>
      <c r="V105" s="7"/>
      <c r="W105" s="7"/>
      <c r="X105" s="7"/>
    </row>
    <row r="106" ht="19.5" customHeight="1">
      <c r="A106" s="7"/>
      <c r="B106" s="26" t="s">
        <v>62</v>
      </c>
      <c r="C106" s="62">
        <v>2200.0</v>
      </c>
      <c r="D106" s="63">
        <f t="shared" ref="D106:O106" si="32">C106-D66</f>
        <v>2000</v>
      </c>
      <c r="E106" s="63">
        <f t="shared" si="32"/>
        <v>1800</v>
      </c>
      <c r="F106" s="63">
        <f t="shared" si="32"/>
        <v>1600</v>
      </c>
      <c r="G106" s="63">
        <f t="shared" si="32"/>
        <v>1400</v>
      </c>
      <c r="H106" s="63">
        <f t="shared" si="32"/>
        <v>1200</v>
      </c>
      <c r="I106" s="63">
        <f t="shared" si="32"/>
        <v>1000</v>
      </c>
      <c r="J106" s="63">
        <f t="shared" si="32"/>
        <v>800</v>
      </c>
      <c r="K106" s="63">
        <f t="shared" si="32"/>
        <v>600</v>
      </c>
      <c r="L106" s="63">
        <f t="shared" si="32"/>
        <v>400</v>
      </c>
      <c r="M106" s="63">
        <f t="shared" si="32"/>
        <v>200</v>
      </c>
      <c r="N106" s="63">
        <f t="shared" si="32"/>
        <v>0</v>
      </c>
      <c r="O106" s="63">
        <f t="shared" si="32"/>
        <v>0</v>
      </c>
      <c r="P106" s="64"/>
      <c r="Q106" s="65">
        <f>Q66</f>
        <v>2200</v>
      </c>
      <c r="R106" s="66"/>
      <c r="S106" s="7"/>
      <c r="T106" s="7"/>
      <c r="U106" s="7"/>
      <c r="V106" s="7"/>
      <c r="W106" s="7"/>
      <c r="X106" s="7"/>
    </row>
    <row r="107" ht="19.5" customHeight="1">
      <c r="A107" s="7"/>
      <c r="B107" s="67"/>
      <c r="C107" s="68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70"/>
      <c r="Q107" s="71"/>
      <c r="R107" s="7"/>
      <c r="S107" s="7"/>
      <c r="T107" s="7"/>
      <c r="U107" s="7"/>
      <c r="V107" s="7"/>
      <c r="W107" s="7"/>
      <c r="X107" s="7"/>
    </row>
    <row r="108" ht="19.5" customHeight="1">
      <c r="A108" s="7"/>
      <c r="B108" s="72" t="s">
        <v>90</v>
      </c>
      <c r="C108" s="73">
        <f t="shared" ref="C108:O108" si="33">sum(C104:C106)</f>
        <v>67700</v>
      </c>
      <c r="D108" s="73">
        <f t="shared" si="33"/>
        <v>65755</v>
      </c>
      <c r="E108" s="73">
        <f t="shared" si="33"/>
        <v>63810</v>
      </c>
      <c r="F108" s="73">
        <f t="shared" si="33"/>
        <v>61865</v>
      </c>
      <c r="G108" s="73">
        <f t="shared" si="33"/>
        <v>59920</v>
      </c>
      <c r="H108" s="73">
        <f t="shared" si="33"/>
        <v>57975</v>
      </c>
      <c r="I108" s="73">
        <f t="shared" si="33"/>
        <v>56030</v>
      </c>
      <c r="J108" s="73">
        <f t="shared" si="33"/>
        <v>54085</v>
      </c>
      <c r="K108" s="73">
        <f t="shared" si="33"/>
        <v>52140</v>
      </c>
      <c r="L108" s="73">
        <f t="shared" si="33"/>
        <v>50195</v>
      </c>
      <c r="M108" s="73">
        <f t="shared" si="33"/>
        <v>48250</v>
      </c>
      <c r="N108" s="73">
        <f t="shared" si="33"/>
        <v>46305</v>
      </c>
      <c r="O108" s="73">
        <f t="shared" si="33"/>
        <v>44560</v>
      </c>
      <c r="P108" s="74"/>
      <c r="Q108" s="75">
        <f>SUM(Q104:Q106)</f>
        <v>23560</v>
      </c>
      <c r="R108" s="66"/>
      <c r="S108" s="7"/>
      <c r="T108" s="7"/>
      <c r="U108" s="7"/>
      <c r="V108" s="7"/>
      <c r="W108" s="7"/>
      <c r="X108" s="7"/>
    </row>
    <row r="109" ht="19.5" customHeight="1">
      <c r="A109" s="7"/>
      <c r="B109" s="76"/>
      <c r="C109" s="68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7"/>
      <c r="Q109" s="71"/>
      <c r="R109" s="7"/>
      <c r="S109" s="7"/>
      <c r="T109" s="7"/>
      <c r="U109" s="7"/>
      <c r="V109" s="7"/>
      <c r="W109" s="7"/>
      <c r="X109" s="7"/>
    </row>
    <row r="110" ht="19.5" customHeight="1">
      <c r="A110" s="78">
        <v>6700.0</v>
      </c>
      <c r="B110" s="79" t="s">
        <v>109</v>
      </c>
      <c r="C110" s="73">
        <f t="shared" ref="C110:O110" si="34">C108-$A$110</f>
        <v>61000</v>
      </c>
      <c r="D110" s="73">
        <f t="shared" si="34"/>
        <v>59055</v>
      </c>
      <c r="E110" s="73">
        <f t="shared" si="34"/>
        <v>57110</v>
      </c>
      <c r="F110" s="73">
        <f t="shared" si="34"/>
        <v>55165</v>
      </c>
      <c r="G110" s="73">
        <f t="shared" si="34"/>
        <v>53220</v>
      </c>
      <c r="H110" s="73">
        <f t="shared" si="34"/>
        <v>51275</v>
      </c>
      <c r="I110" s="73">
        <f t="shared" si="34"/>
        <v>49330</v>
      </c>
      <c r="J110" s="73">
        <f t="shared" si="34"/>
        <v>47385</v>
      </c>
      <c r="K110" s="73">
        <f t="shared" si="34"/>
        <v>45440</v>
      </c>
      <c r="L110" s="73">
        <f t="shared" si="34"/>
        <v>43495</v>
      </c>
      <c r="M110" s="73">
        <f t="shared" si="34"/>
        <v>41550</v>
      </c>
      <c r="N110" s="73">
        <f t="shared" si="34"/>
        <v>39605</v>
      </c>
      <c r="O110" s="73">
        <f t="shared" si="34"/>
        <v>37860</v>
      </c>
      <c r="P110" s="74"/>
      <c r="Q110" s="75">
        <f>SUM(Q104:Q106)</f>
        <v>23560</v>
      </c>
      <c r="R110" s="66"/>
      <c r="S110" s="7"/>
      <c r="T110" s="7"/>
      <c r="U110" s="7"/>
      <c r="V110" s="7"/>
      <c r="W110" s="7"/>
      <c r="X110" s="7"/>
    </row>
    <row r="111" ht="19.5" customHeight="1">
      <c r="A111" s="7"/>
      <c r="B111" s="7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1"/>
      <c r="R111" s="7"/>
      <c r="S111" s="7"/>
      <c r="T111" s="7"/>
      <c r="U111" s="7"/>
      <c r="V111" s="7"/>
      <c r="W111" s="7"/>
      <c r="X111" s="7"/>
    </row>
    <row r="112" ht="30.0" customHeight="1">
      <c r="A112" s="54"/>
      <c r="B112" s="55" t="s">
        <v>92</v>
      </c>
      <c r="C112" s="56" t="s">
        <v>87</v>
      </c>
      <c r="D112" s="57" t="s">
        <v>7</v>
      </c>
      <c r="E112" s="57" t="s">
        <v>8</v>
      </c>
      <c r="F112" s="57" t="s">
        <v>9</v>
      </c>
      <c r="G112" s="57" t="s">
        <v>10</v>
      </c>
      <c r="H112" s="57" t="s">
        <v>11</v>
      </c>
      <c r="I112" s="57" t="s">
        <v>12</v>
      </c>
      <c r="J112" s="57" t="s">
        <v>13</v>
      </c>
      <c r="K112" s="57" t="s">
        <v>14</v>
      </c>
      <c r="L112" s="57" t="s">
        <v>15</v>
      </c>
      <c r="M112" s="57" t="s">
        <v>16</v>
      </c>
      <c r="N112" s="57" t="s">
        <v>17</v>
      </c>
      <c r="O112" s="57" t="s">
        <v>18</v>
      </c>
      <c r="P112" s="58"/>
      <c r="Q112" s="59" t="s">
        <v>93</v>
      </c>
      <c r="R112" s="54"/>
      <c r="S112" s="54"/>
      <c r="T112" s="54"/>
      <c r="U112" s="54"/>
      <c r="V112" s="54"/>
      <c r="W112" s="54"/>
      <c r="X112" s="54"/>
      <c r="Y112" s="60"/>
      <c r="Z112" s="60"/>
    </row>
    <row r="113" ht="19.5" customHeight="1">
      <c r="A113" s="7"/>
      <c r="B113" s="61" t="s">
        <v>94</v>
      </c>
      <c r="C113" s="62">
        <v>15000.0</v>
      </c>
      <c r="D113" s="82">
        <v>15000.0</v>
      </c>
      <c r="E113" s="82">
        <v>15000.0</v>
      </c>
      <c r="F113" s="82">
        <v>15000.0</v>
      </c>
      <c r="G113" s="82">
        <v>15000.0</v>
      </c>
      <c r="H113" s="82">
        <v>15000.0</v>
      </c>
      <c r="I113" s="82">
        <v>15000.0</v>
      </c>
      <c r="J113" s="82">
        <v>15000.0</v>
      </c>
      <c r="K113" s="82">
        <v>15000.0</v>
      </c>
      <c r="L113" s="82">
        <v>15000.0</v>
      </c>
      <c r="M113" s="82">
        <v>15000.0</v>
      </c>
      <c r="N113" s="82">
        <v>15000.0</v>
      </c>
      <c r="O113" s="82">
        <v>15000.0</v>
      </c>
      <c r="P113" s="83"/>
      <c r="Q113" s="84">
        <f t="shared" ref="Q113:Q120" si="35">O113-C113</f>
        <v>0</v>
      </c>
      <c r="R113" s="66"/>
      <c r="S113" s="7"/>
      <c r="T113" s="7"/>
      <c r="U113" s="7"/>
      <c r="V113" s="7"/>
      <c r="W113" s="7"/>
      <c r="X113" s="7"/>
    </row>
    <row r="114" ht="19.5" customHeight="1">
      <c r="A114" s="7"/>
      <c r="B114" s="61" t="s">
        <v>95</v>
      </c>
      <c r="C114" s="62">
        <v>15000.0</v>
      </c>
      <c r="D114" s="82">
        <v>15000.0</v>
      </c>
      <c r="E114" s="82">
        <v>15000.0</v>
      </c>
      <c r="F114" s="82">
        <v>15000.0</v>
      </c>
      <c r="G114" s="82">
        <v>15000.0</v>
      </c>
      <c r="H114" s="82">
        <v>15000.0</v>
      </c>
      <c r="I114" s="82">
        <v>15000.0</v>
      </c>
      <c r="J114" s="82">
        <v>15000.0</v>
      </c>
      <c r="K114" s="82">
        <v>15000.0</v>
      </c>
      <c r="L114" s="82">
        <v>15000.0</v>
      </c>
      <c r="M114" s="82">
        <v>15000.0</v>
      </c>
      <c r="N114" s="82">
        <v>15000.0</v>
      </c>
      <c r="O114" s="82">
        <v>15000.0</v>
      </c>
      <c r="P114" s="83"/>
      <c r="Q114" s="84">
        <f t="shared" si="35"/>
        <v>0</v>
      </c>
      <c r="R114" s="66"/>
      <c r="S114" s="7"/>
      <c r="T114" s="7"/>
      <c r="U114" s="7"/>
      <c r="V114" s="7"/>
      <c r="W114" s="7"/>
      <c r="X114" s="7"/>
    </row>
    <row r="115" ht="19.5" customHeight="1">
      <c r="A115" s="7"/>
      <c r="B115" s="85" t="s">
        <v>96</v>
      </c>
      <c r="C115" s="62">
        <v>6000.0</v>
      </c>
      <c r="D115" s="86">
        <v>7000.0</v>
      </c>
      <c r="E115" s="86">
        <v>7000.0</v>
      </c>
      <c r="F115" s="86">
        <v>7000.0</v>
      </c>
      <c r="G115" s="86">
        <v>7000.0</v>
      </c>
      <c r="H115" s="86">
        <v>7000.0</v>
      </c>
      <c r="I115" s="86">
        <v>7000.0</v>
      </c>
      <c r="J115" s="86">
        <v>7000.0</v>
      </c>
      <c r="K115" s="86">
        <v>7000.0</v>
      </c>
      <c r="L115" s="86">
        <v>7000.0</v>
      </c>
      <c r="M115" s="86">
        <v>7000.0</v>
      </c>
      <c r="N115" s="86">
        <v>7000.0</v>
      </c>
      <c r="O115" s="86">
        <v>7000.0</v>
      </c>
      <c r="P115" s="83"/>
      <c r="Q115" s="84">
        <f t="shared" si="35"/>
        <v>1000</v>
      </c>
      <c r="R115" s="66"/>
      <c r="S115" s="7"/>
      <c r="T115" s="7"/>
      <c r="U115" s="7"/>
      <c r="V115" s="7"/>
      <c r="W115" s="7"/>
      <c r="X115" s="7"/>
    </row>
    <row r="116" ht="19.5" customHeight="1">
      <c r="A116" s="7"/>
      <c r="B116" s="85" t="s">
        <v>97</v>
      </c>
      <c r="C116" s="62">
        <v>1600.0</v>
      </c>
      <c r="D116" s="82">
        <f t="shared" ref="D116:O116" si="36">C116+D11</f>
        <v>327.5</v>
      </c>
      <c r="E116" s="82">
        <f t="shared" si="36"/>
        <v>864.16505</v>
      </c>
      <c r="F116" s="82">
        <f t="shared" si="36"/>
        <v>2250.8301</v>
      </c>
      <c r="G116" s="82">
        <f t="shared" si="36"/>
        <v>2912.49515</v>
      </c>
      <c r="H116" s="82">
        <f t="shared" si="36"/>
        <v>3824.1602</v>
      </c>
      <c r="I116" s="82">
        <f t="shared" si="36"/>
        <v>4735.82525</v>
      </c>
      <c r="J116" s="82">
        <f t="shared" si="36"/>
        <v>5647.4903</v>
      </c>
      <c r="K116" s="82">
        <f t="shared" si="36"/>
        <v>6309.15535</v>
      </c>
      <c r="L116" s="82">
        <f t="shared" si="36"/>
        <v>7220.8204</v>
      </c>
      <c r="M116" s="82">
        <f t="shared" si="36"/>
        <v>8132.48545</v>
      </c>
      <c r="N116" s="82">
        <f t="shared" si="36"/>
        <v>8794.1505</v>
      </c>
      <c r="O116" s="82">
        <f t="shared" si="36"/>
        <v>11360.81555</v>
      </c>
      <c r="P116" s="83"/>
      <c r="Q116" s="84">
        <f t="shared" si="35"/>
        <v>9760.81555</v>
      </c>
      <c r="R116" s="66"/>
      <c r="S116" s="7"/>
      <c r="T116" s="7"/>
      <c r="U116" s="7"/>
      <c r="V116" s="7"/>
      <c r="W116" s="7"/>
      <c r="X116" s="7"/>
    </row>
    <row r="117" ht="19.5" customHeight="1">
      <c r="A117" s="7"/>
      <c r="B117" s="85" t="s">
        <v>98</v>
      </c>
      <c r="C117" s="62">
        <v>1800.0</v>
      </c>
      <c r="D117" s="82">
        <v>2600.0</v>
      </c>
      <c r="E117" s="82">
        <v>1000.0</v>
      </c>
      <c r="F117" s="82">
        <v>2600.0</v>
      </c>
      <c r="G117" s="82">
        <v>2600.0</v>
      </c>
      <c r="H117" s="82">
        <v>2600.0</v>
      </c>
      <c r="I117" s="82">
        <v>2600.0</v>
      </c>
      <c r="J117" s="82">
        <v>2600.0</v>
      </c>
      <c r="K117" s="82">
        <v>2600.0</v>
      </c>
      <c r="L117" s="82">
        <v>2600.0</v>
      </c>
      <c r="M117" s="82">
        <v>2600.0</v>
      </c>
      <c r="N117" s="82">
        <v>2600.0</v>
      </c>
      <c r="O117" s="82">
        <v>2600.0</v>
      </c>
      <c r="P117" s="83"/>
      <c r="Q117" s="84">
        <f t="shared" si="35"/>
        <v>800</v>
      </c>
      <c r="R117" s="66"/>
      <c r="S117" s="7"/>
      <c r="T117" s="7"/>
      <c r="U117" s="7"/>
      <c r="V117" s="7"/>
      <c r="W117" s="7"/>
      <c r="X117" s="7"/>
    </row>
    <row r="118" ht="19.5" customHeight="1">
      <c r="A118" s="7"/>
      <c r="B118" s="85" t="s">
        <v>99</v>
      </c>
      <c r="C118" s="62">
        <v>12000.0</v>
      </c>
      <c r="D118" s="82">
        <v>12100.0</v>
      </c>
      <c r="E118" s="82">
        <f t="shared" ref="E118:O118" si="37">D118+E34</f>
        <v>13183.333</v>
      </c>
      <c r="F118" s="82">
        <f t="shared" si="37"/>
        <v>14266.666</v>
      </c>
      <c r="G118" s="82">
        <f t="shared" si="37"/>
        <v>15349.999</v>
      </c>
      <c r="H118" s="82">
        <f t="shared" si="37"/>
        <v>16433.332</v>
      </c>
      <c r="I118" s="82">
        <f t="shared" si="37"/>
        <v>17516.665</v>
      </c>
      <c r="J118" s="82">
        <f t="shared" si="37"/>
        <v>18599.998</v>
      </c>
      <c r="K118" s="82">
        <f t="shared" si="37"/>
        <v>19683.331</v>
      </c>
      <c r="L118" s="82">
        <f t="shared" si="37"/>
        <v>20766.664</v>
      </c>
      <c r="M118" s="82">
        <f t="shared" si="37"/>
        <v>21849.997</v>
      </c>
      <c r="N118" s="82">
        <f t="shared" si="37"/>
        <v>22933.33</v>
      </c>
      <c r="O118" s="82">
        <f t="shared" si="37"/>
        <v>24016.663</v>
      </c>
      <c r="P118" s="83"/>
      <c r="Q118" s="84">
        <f t="shared" si="35"/>
        <v>12016.663</v>
      </c>
      <c r="R118" s="66"/>
      <c r="S118" s="7"/>
      <c r="T118" s="7"/>
      <c r="U118" s="7"/>
      <c r="V118" s="7"/>
      <c r="W118" s="7"/>
      <c r="X118" s="7"/>
    </row>
    <row r="119" ht="19.5" customHeight="1">
      <c r="A119" s="7"/>
      <c r="B119" s="85" t="s">
        <v>100</v>
      </c>
      <c r="C119" s="62">
        <v>9000.0</v>
      </c>
      <c r="D119" s="82">
        <v>9750.0</v>
      </c>
      <c r="E119" s="82">
        <f t="shared" ref="E119:O119" si="38">D119+E33+($D$14*0.04)</f>
        <v>12045.83275</v>
      </c>
      <c r="F119" s="82">
        <f t="shared" si="38"/>
        <v>14341.6655</v>
      </c>
      <c r="G119" s="82">
        <f t="shared" si="38"/>
        <v>16637.49825</v>
      </c>
      <c r="H119" s="82">
        <f t="shared" si="38"/>
        <v>18933.331</v>
      </c>
      <c r="I119" s="82">
        <f t="shared" si="38"/>
        <v>21229.16375</v>
      </c>
      <c r="J119" s="82">
        <f t="shared" si="38"/>
        <v>23524.9965</v>
      </c>
      <c r="K119" s="82">
        <f t="shared" si="38"/>
        <v>25820.82925</v>
      </c>
      <c r="L119" s="82">
        <f t="shared" si="38"/>
        <v>28116.662</v>
      </c>
      <c r="M119" s="82">
        <f t="shared" si="38"/>
        <v>30412.49475</v>
      </c>
      <c r="N119" s="82">
        <f t="shared" si="38"/>
        <v>32708.3275</v>
      </c>
      <c r="O119" s="82">
        <f t="shared" si="38"/>
        <v>35529.16025</v>
      </c>
      <c r="P119" s="83"/>
      <c r="Q119" s="84">
        <f t="shared" si="35"/>
        <v>26529.16025</v>
      </c>
      <c r="R119" s="66"/>
      <c r="S119" s="7"/>
      <c r="T119" s="7"/>
      <c r="U119" s="7"/>
      <c r="V119" s="7"/>
      <c r="W119" s="7"/>
      <c r="X119" s="7"/>
    </row>
    <row r="120" ht="19.5" customHeight="1">
      <c r="A120" s="87">
        <v>75.0</v>
      </c>
      <c r="B120" s="85" t="s">
        <v>101</v>
      </c>
      <c r="C120" s="62">
        <v>3000.0</v>
      </c>
      <c r="D120" s="82">
        <f t="shared" ref="D120:O120" si="39">C120-$A$120</f>
        <v>2925</v>
      </c>
      <c r="E120" s="82">
        <f t="shared" si="39"/>
        <v>2850</v>
      </c>
      <c r="F120" s="82">
        <f t="shared" si="39"/>
        <v>2775</v>
      </c>
      <c r="G120" s="82">
        <f t="shared" si="39"/>
        <v>2700</v>
      </c>
      <c r="H120" s="82">
        <f t="shared" si="39"/>
        <v>2625</v>
      </c>
      <c r="I120" s="82">
        <f t="shared" si="39"/>
        <v>2550</v>
      </c>
      <c r="J120" s="82">
        <f t="shared" si="39"/>
        <v>2475</v>
      </c>
      <c r="K120" s="82">
        <f t="shared" si="39"/>
        <v>2400</v>
      </c>
      <c r="L120" s="82">
        <f t="shared" si="39"/>
        <v>2325</v>
      </c>
      <c r="M120" s="82">
        <f t="shared" si="39"/>
        <v>2250</v>
      </c>
      <c r="N120" s="82">
        <f t="shared" si="39"/>
        <v>2175</v>
      </c>
      <c r="O120" s="82">
        <f t="shared" si="39"/>
        <v>2100</v>
      </c>
      <c r="P120" s="83"/>
      <c r="Q120" s="84">
        <f t="shared" si="35"/>
        <v>-900</v>
      </c>
      <c r="R120" s="66"/>
      <c r="S120" s="7"/>
      <c r="T120" s="7"/>
      <c r="U120" s="7"/>
      <c r="V120" s="7"/>
      <c r="W120" s="7"/>
      <c r="X120" s="7"/>
    </row>
    <row r="121" ht="19.5" customHeight="1">
      <c r="A121" s="7"/>
      <c r="B121" s="85" t="s">
        <v>29</v>
      </c>
      <c r="C121" s="62">
        <v>0.0</v>
      </c>
      <c r="D121" s="82">
        <v>0.0</v>
      </c>
      <c r="E121" s="82">
        <v>0.0</v>
      </c>
      <c r="F121" s="82">
        <v>0.0</v>
      </c>
      <c r="G121" s="82">
        <v>0.0</v>
      </c>
      <c r="H121" s="82">
        <v>0.0</v>
      </c>
      <c r="I121" s="82">
        <v>0.0</v>
      </c>
      <c r="J121" s="82">
        <v>0.0</v>
      </c>
      <c r="K121" s="82">
        <v>0.0</v>
      </c>
      <c r="L121" s="82">
        <v>0.0</v>
      </c>
      <c r="M121" s="82">
        <v>0.0</v>
      </c>
      <c r="N121" s="82">
        <v>0.0</v>
      </c>
      <c r="O121" s="82">
        <v>0.0</v>
      </c>
      <c r="P121" s="83"/>
      <c r="Q121" s="84">
        <v>0.0</v>
      </c>
      <c r="R121" s="66"/>
      <c r="S121" s="7"/>
      <c r="T121" s="7"/>
      <c r="U121" s="7"/>
      <c r="V121" s="7"/>
      <c r="W121" s="7"/>
      <c r="X121" s="7"/>
    </row>
    <row r="122" ht="19.5" customHeight="1">
      <c r="A122" s="7"/>
      <c r="B122" s="67"/>
      <c r="C122" s="6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9"/>
      <c r="Q122" s="90"/>
      <c r="R122" s="7"/>
      <c r="S122" s="7"/>
      <c r="T122" s="7"/>
      <c r="U122" s="7"/>
      <c r="V122" s="7"/>
      <c r="W122" s="7"/>
      <c r="X122" s="7"/>
    </row>
    <row r="123" ht="19.5" customHeight="1">
      <c r="A123" s="7"/>
      <c r="B123" s="72" t="s">
        <v>102</v>
      </c>
      <c r="C123" s="73">
        <f t="shared" ref="C123:E123" si="40">sum(C113:C121)</f>
        <v>63400</v>
      </c>
      <c r="D123" s="73">
        <f t="shared" si="40"/>
        <v>64702.5</v>
      </c>
      <c r="E123" s="73">
        <f t="shared" si="40"/>
        <v>66943.3308</v>
      </c>
      <c r="F123" s="73">
        <f>sum(F113:F119)</f>
        <v>70459.1616</v>
      </c>
      <c r="G123" s="73">
        <f t="shared" ref="G123:N123" si="41">sum(G113:G121)</f>
        <v>77199.9924</v>
      </c>
      <c r="H123" s="73">
        <f t="shared" si="41"/>
        <v>81415.8232</v>
      </c>
      <c r="I123" s="73">
        <f t="shared" si="41"/>
        <v>85631.654</v>
      </c>
      <c r="J123" s="73">
        <f t="shared" si="41"/>
        <v>89847.4848</v>
      </c>
      <c r="K123" s="73">
        <f t="shared" si="41"/>
        <v>93813.3156</v>
      </c>
      <c r="L123" s="73">
        <f t="shared" si="41"/>
        <v>98029.1464</v>
      </c>
      <c r="M123" s="73">
        <f t="shared" si="41"/>
        <v>102244.9772</v>
      </c>
      <c r="N123" s="73">
        <f t="shared" si="41"/>
        <v>106210.808</v>
      </c>
      <c r="O123" s="73">
        <f>Sum(O113:O121)</f>
        <v>112606.6388</v>
      </c>
      <c r="P123" s="91"/>
      <c r="Q123" s="75">
        <f>SUM(Q113:Q122)</f>
        <v>49206.6388</v>
      </c>
      <c r="R123" s="66"/>
      <c r="S123" s="7"/>
      <c r="T123" s="7"/>
      <c r="U123" s="7"/>
      <c r="V123" s="7"/>
      <c r="W123" s="7"/>
      <c r="X123" s="7"/>
    </row>
    <row r="124" ht="15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5.0" customHeight="1">
      <c r="A125" s="7"/>
      <c r="B125" s="72" t="s">
        <v>103</v>
      </c>
      <c r="C125" s="92">
        <v>584.0</v>
      </c>
      <c r="D125" s="92">
        <v>595.0</v>
      </c>
      <c r="E125" s="92">
        <v>584.0</v>
      </c>
      <c r="F125" s="92">
        <v>584.0</v>
      </c>
      <c r="G125" s="92">
        <v>584.0</v>
      </c>
      <c r="H125" s="92">
        <v>584.0</v>
      </c>
      <c r="I125" s="92">
        <v>584.0</v>
      </c>
      <c r="J125" s="92">
        <v>584.0</v>
      </c>
      <c r="K125" s="92">
        <v>584.0</v>
      </c>
      <c r="L125" s="92">
        <v>584.0</v>
      </c>
      <c r="M125" s="92">
        <v>584.0</v>
      </c>
      <c r="N125" s="92">
        <v>584.0</v>
      </c>
      <c r="O125" s="92">
        <v>584.0</v>
      </c>
      <c r="P125" s="91"/>
      <c r="Q125" s="92">
        <v>584.0</v>
      </c>
      <c r="R125" s="7"/>
      <c r="S125" s="7"/>
      <c r="T125" s="7"/>
      <c r="U125" s="7"/>
      <c r="V125" s="7"/>
      <c r="W125" s="7"/>
      <c r="X125" s="7"/>
    </row>
    <row r="126" ht="15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5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5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5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5.0" customHeight="1">
      <c r="A130" s="7"/>
      <c r="B130" s="7"/>
      <c r="C130" s="7"/>
      <c r="D130" s="9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5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5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5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5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5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5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5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5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5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5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5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5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5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5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5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5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5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5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5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5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5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5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5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5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5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5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5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5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5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5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5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5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5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5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5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5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5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5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5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5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5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5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5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5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5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5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5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5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5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5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5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5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5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5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5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5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5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5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5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5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5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5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5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5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5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5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5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5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5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5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5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5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5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5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5">
    <mergeCell ref="B2:C2"/>
    <mergeCell ref="B3:C3"/>
    <mergeCell ref="B5:C5"/>
    <mergeCell ref="B6:C6"/>
    <mergeCell ref="B99:Q99"/>
  </mergeCells>
  <conditionalFormatting sqref="D9:O11 D39:O97 Q39:Q41 D103:O106 D109:O109 D112:O114 D116:O121">
    <cfRule type="cellIs" dxfId="0" priority="1" operator="lessThan">
      <formula>0</formula>
    </cfRule>
  </conditionalFormatting>
  <conditionalFormatting sqref="D14:O20">
    <cfRule type="cellIs" dxfId="0" priority="2" operator="lessThan">
      <formula>0</formula>
    </cfRule>
  </conditionalFormatting>
  <conditionalFormatting sqref="D23:O28">
    <cfRule type="cellIs" dxfId="0" priority="3" operator="lessThan">
      <formula>0</formula>
    </cfRule>
  </conditionalFormatting>
  <conditionalFormatting sqref="D30:O30 Q30">
    <cfRule type="cellIs" dxfId="0" priority="4" operator="lessThan">
      <formula>0</formula>
    </cfRule>
  </conditionalFormatting>
  <conditionalFormatting sqref="D33:O37 C41">
    <cfRule type="cellIs" dxfId="0" priority="5" operator="lessThan">
      <formula>0</formula>
    </cfRule>
  </conditionalFormatting>
  <conditionalFormatting sqref="Q9:Q11">
    <cfRule type="cellIs" dxfId="0" priority="6" operator="lessThan">
      <formula>0</formula>
    </cfRule>
  </conditionalFormatting>
  <conditionalFormatting sqref="Q14:Q20 Q33:Q37 Q55:Q61 Q85:Q91 Q93:Q97">
    <cfRule type="cellIs" dxfId="0" priority="7" operator="lessThan">
      <formula>0</formula>
    </cfRule>
  </conditionalFormatting>
  <conditionalFormatting sqref="Q23:Q28">
    <cfRule type="cellIs" dxfId="0" priority="8" operator="lessThan">
      <formula>0</formula>
    </cfRule>
  </conditionalFormatting>
  <conditionalFormatting sqref="Q43:Q53">
    <cfRule type="cellIs" dxfId="0" priority="9" operator="lessThan">
      <formula>0</formula>
    </cfRule>
  </conditionalFormatting>
  <conditionalFormatting sqref="Q63:Q69 Q71:Q83 Q103:Q110 Q112:Q123">
    <cfRule type="cellIs" dxfId="0" priority="10" operator="lessThan">
      <formula>0</formula>
    </cfRule>
  </conditionalFormatting>
  <hyperlinks>
    <hyperlink r:id="rId1" ref="B110"/>
  </hyperlinks>
  <drawing r:id="rId2"/>
  <extLst>
    <ext uri="{05C60535-1F16-4fd2-B633-F4F36F0B64E0}">
      <x14:sparklineGroups>
        <x14:sparklineGroup displayEmptyCellsAs="gap">
          <x14:colorSeries rgb="FF00B050"/>
          <x14:sparklines>
            <x14:sparkline>
              <xm:f>'CHARLEY 2026 Projections'!D9:O9</xm:f>
              <xm:sqref>C9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Projections'!D10:O10</xm:f>
              <xm:sqref>C10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Projections'!D11:O11</xm:f>
              <xm:sqref>C11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Projections'!D14:O14</xm:f>
              <xm:sqref>C14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Projections'!D15:O15</xm:f>
              <xm:sqref>C15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Projections'!D16:O16</xm:f>
              <xm:sqref>C16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Projections'!D17:O17</xm:f>
              <xm:sqref>C17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Projections'!E18:O18</xm:f>
              <xm:sqref>C18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Projections'!E19:O19</xm:f>
              <xm:sqref>C19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Projections'!D20:O20</xm:f>
              <xm:sqref>C20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Projections'!D23:O23</xm:f>
              <xm:sqref>C23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Projections'!D24:O24</xm:f>
              <xm:sqref>C24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Projections'!D25:O25</xm:f>
              <xm:sqref>C25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Projections'!D26:O26</xm:f>
              <xm:sqref>C26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Projections'!D27:O27</xm:f>
              <xm:sqref>C27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Projections'!D28:O28</xm:f>
              <xm:sqref>C28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Projections'!D30:O30</xm:f>
              <xm:sqref>C30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Projections'!D33:O33</xm:f>
              <xm:sqref>C33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Projections'!D34:O34</xm:f>
              <xm:sqref>C34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Projections'!D36:O36</xm:f>
              <xm:sqref>C37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Projections'!D38:O38</xm:f>
              <xm:sqref>C39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Projections'!D42:O42</xm:f>
              <xm:sqref>C43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Projections'!D43:O43</xm:f>
              <xm:sqref>C44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Projections'!D44:O44</xm:f>
              <xm:sqref>C45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Projections'!D45:O45</xm:f>
              <xm:sqref>C46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Projections'!D46:O46</xm:f>
              <xm:sqref>C47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Projections'!D47:O47</xm:f>
              <xm:sqref>C48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Projections'!D48:O48</xm:f>
              <xm:sqref>C49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Projections'!D49:O49</xm:f>
              <xm:sqref>C50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Projections'!D50:O50</xm:f>
              <xm:sqref>C51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Projections'!D51:O51</xm:f>
              <xm:sqref>C52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Projections'!D54:O54</xm:f>
              <xm:sqref>C55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Projections'!D55:O55</xm:f>
              <xm:sqref>C56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Projections'!D56:O56</xm:f>
              <xm:sqref>C57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Projections'!D57:O57</xm:f>
              <xm:sqref>C58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Projections'!D58:O58</xm:f>
              <xm:sqref>C59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Projections'!D59:O59</xm:f>
              <xm:sqref>C60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Projections'!D62:O62</xm:f>
              <xm:sqref>C63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Projections'!D63:O63</xm:f>
              <xm:sqref>C64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Projections'!D64:O64</xm:f>
              <xm:sqref>C65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Projections'!D66:O66</xm:f>
              <xm:sqref>C67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Projections'!D67:O67</xm:f>
              <xm:sqref>C68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Projections'!D70:O70</xm:f>
              <xm:sqref>C71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Projections'!D71:O71</xm:f>
              <xm:sqref>C72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Projections'!D72:O72</xm:f>
              <xm:sqref>C73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Projections'!D73:O73</xm:f>
              <xm:sqref>C74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Projections'!D74:O74</xm:f>
              <xm:sqref>C75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Projections'!D75:O75</xm:f>
              <xm:sqref>C76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Projections'!D76:O76</xm:f>
              <xm:sqref>C77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Projections'!D77:O77</xm:f>
              <xm:sqref>C78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Projections'!D78:O78</xm:f>
              <xm:sqref>C79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Projections'!D79:O79</xm:f>
              <xm:sqref>C80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Projections'!D80:O80</xm:f>
              <xm:sqref>C81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Projections'!D81:O81</xm:f>
              <xm:sqref>C82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Projections'!D84:O84</xm:f>
              <xm:sqref>C85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Projections'!D85:O85</xm:f>
              <xm:sqref>C86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Projections'!D86:O86</xm:f>
              <xm:sqref>C87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Projections'!D87:O87</xm:f>
              <xm:sqref>C88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Projections'!D88:O88</xm:f>
              <xm:sqref>C89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Projections'!D89:O89</xm:f>
              <xm:sqref>C90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Projections'!D92:O92</xm:f>
              <xm:sqref>C93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Projections'!D93:O93</xm:f>
              <xm:sqref>C94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Projections'!D94:O94</xm:f>
              <xm:sqref>C95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Projections'!D96:O96</xm:f>
              <xm:sqref>C97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57.71"/>
    <col customWidth="1" min="3" max="3" width="15.86"/>
    <col customWidth="1" min="4" max="15" width="12.71"/>
    <col customWidth="1" min="16" max="16" width="3.71"/>
    <col customWidth="1" min="17" max="17" width="12.71"/>
    <col customWidth="1" min="18" max="18" width="3.71"/>
    <col customWidth="1" min="19" max="24" width="28.71"/>
  </cols>
  <sheetData>
    <row r="1" ht="49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1.75" customHeight="1">
      <c r="A2" s="3"/>
      <c r="B2" s="4" t="s">
        <v>1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</row>
    <row r="3" ht="34.5" customHeight="1">
      <c r="A3" s="8"/>
      <c r="B3" s="9" t="s">
        <v>2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8"/>
      <c r="S3" s="8"/>
      <c r="T3" s="8"/>
      <c r="U3" s="8"/>
      <c r="V3" s="8"/>
      <c r="W3" s="8"/>
      <c r="X3" s="8"/>
    </row>
    <row r="4" ht="15.0" customHeight="1">
      <c r="A4" s="7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S4" s="7"/>
      <c r="T4" s="7"/>
      <c r="U4" s="7"/>
      <c r="V4" s="7"/>
      <c r="W4" s="7"/>
      <c r="X4" s="7"/>
    </row>
    <row r="5" ht="21.75" customHeight="1">
      <c r="A5" s="3"/>
      <c r="B5" s="4" t="s">
        <v>3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  <c r="W5" s="7"/>
      <c r="X5" s="7"/>
    </row>
    <row r="6" ht="34.5" customHeight="1">
      <c r="A6" s="8"/>
      <c r="B6" s="9" t="s">
        <v>110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8"/>
      <c r="S6" s="8"/>
      <c r="T6" s="8"/>
      <c r="U6" s="8"/>
      <c r="V6" s="8"/>
      <c r="W6" s="8"/>
      <c r="X6" s="8"/>
    </row>
    <row r="7" ht="15.0" customHeight="1">
      <c r="A7" s="7"/>
      <c r="B7" s="14" t="s">
        <v>105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7"/>
      <c r="T7" s="7"/>
      <c r="U7" s="7"/>
      <c r="V7" s="7"/>
      <c r="W7" s="7"/>
      <c r="X7" s="7"/>
    </row>
    <row r="8" ht="19.5" customHeight="1">
      <c r="A8" s="8"/>
      <c r="B8" s="12"/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1"/>
      <c r="Q8" s="15" t="s">
        <v>19</v>
      </c>
      <c r="S8" s="8"/>
      <c r="T8" s="8"/>
      <c r="U8" s="8"/>
      <c r="V8" s="8"/>
      <c r="W8" s="8"/>
      <c r="X8" s="8"/>
    </row>
    <row r="9" ht="19.5" customHeight="1">
      <c r="A9" s="7"/>
      <c r="B9" s="16" t="s">
        <v>20</v>
      </c>
      <c r="C9" s="17"/>
      <c r="D9" s="18">
        <f t="shared" ref="D9:O9" si="1">D39</f>
        <v>6576</v>
      </c>
      <c r="E9" s="18">
        <f t="shared" si="1"/>
        <v>7854.16425</v>
      </c>
      <c r="F9" s="18">
        <f t="shared" si="1"/>
        <v>7854.16425</v>
      </c>
      <c r="G9" s="18">
        <f t="shared" si="1"/>
        <v>18854.16425</v>
      </c>
      <c r="H9" s="18">
        <f t="shared" si="1"/>
        <v>7854.16425</v>
      </c>
      <c r="I9" s="18">
        <f t="shared" si="1"/>
        <v>7854.16425</v>
      </c>
      <c r="J9" s="18">
        <f t="shared" si="1"/>
        <v>7854.16425</v>
      </c>
      <c r="K9" s="18">
        <f t="shared" si="1"/>
        <v>7854.16425</v>
      </c>
      <c r="L9" s="18">
        <f t="shared" si="1"/>
        <v>7854.16425</v>
      </c>
      <c r="M9" s="18">
        <f t="shared" si="1"/>
        <v>7854.16425</v>
      </c>
      <c r="N9" s="18">
        <f t="shared" si="1"/>
        <v>7854.16425</v>
      </c>
      <c r="O9" s="18">
        <f t="shared" si="1"/>
        <v>10329.16425</v>
      </c>
      <c r="P9" s="19"/>
      <c r="Q9" s="18">
        <f t="shared" ref="Q9:Q10" si="3">SUM(D9:O9)</f>
        <v>106446.8068</v>
      </c>
      <c r="S9" s="7"/>
      <c r="T9" s="7"/>
      <c r="U9" s="7"/>
      <c r="V9" s="7"/>
    </row>
    <row r="10" ht="19.5" customHeight="1">
      <c r="A10" s="7"/>
      <c r="B10" s="16" t="s">
        <v>21</v>
      </c>
      <c r="C10" s="20"/>
      <c r="D10" s="21">
        <f t="shared" ref="D10:O10" si="2">D97</f>
        <v>7848.5</v>
      </c>
      <c r="E10" s="21">
        <f t="shared" si="2"/>
        <v>7317.4992</v>
      </c>
      <c r="F10" s="21">
        <f t="shared" si="2"/>
        <v>8527.4992</v>
      </c>
      <c r="G10" s="21">
        <f t="shared" si="2"/>
        <v>13937.4992</v>
      </c>
      <c r="H10" s="21">
        <f t="shared" si="2"/>
        <v>5532.4992</v>
      </c>
      <c r="I10" s="21">
        <f t="shared" si="2"/>
        <v>5532.4992</v>
      </c>
      <c r="J10" s="21">
        <f t="shared" si="2"/>
        <v>5532.4992</v>
      </c>
      <c r="K10" s="21">
        <f t="shared" si="2"/>
        <v>11037.4992</v>
      </c>
      <c r="L10" s="21">
        <f t="shared" si="2"/>
        <v>6687.4992</v>
      </c>
      <c r="M10" s="21">
        <f t="shared" si="2"/>
        <v>6687.4992</v>
      </c>
      <c r="N10" s="21">
        <f t="shared" si="2"/>
        <v>6937.4992</v>
      </c>
      <c r="O10" s="21">
        <f t="shared" si="2"/>
        <v>7707.4992</v>
      </c>
      <c r="P10" s="7"/>
      <c r="Q10" s="21">
        <f t="shared" si="3"/>
        <v>93285.9912</v>
      </c>
      <c r="R10" s="7"/>
      <c r="S10" s="7"/>
      <c r="T10" s="7"/>
      <c r="U10" s="7"/>
      <c r="V10" s="7"/>
      <c r="W10" s="7"/>
      <c r="X10" s="7"/>
    </row>
    <row r="11" ht="21.75" customHeight="1">
      <c r="A11" s="7"/>
      <c r="B11" s="16" t="s">
        <v>22</v>
      </c>
      <c r="C11" s="22"/>
      <c r="D11" s="23">
        <f t="shared" ref="D11:O11" si="4">D9-D10</f>
        <v>-1272.5</v>
      </c>
      <c r="E11" s="23">
        <f t="shared" si="4"/>
        <v>536.66505</v>
      </c>
      <c r="F11" s="23">
        <f t="shared" si="4"/>
        <v>-673.33495</v>
      </c>
      <c r="G11" s="23">
        <f t="shared" si="4"/>
        <v>4916.66505</v>
      </c>
      <c r="H11" s="23">
        <f t="shared" si="4"/>
        <v>2321.66505</v>
      </c>
      <c r="I11" s="23">
        <f t="shared" si="4"/>
        <v>2321.66505</v>
      </c>
      <c r="J11" s="23">
        <f t="shared" si="4"/>
        <v>2321.66505</v>
      </c>
      <c r="K11" s="23">
        <f t="shared" si="4"/>
        <v>-3183.33495</v>
      </c>
      <c r="L11" s="23">
        <f t="shared" si="4"/>
        <v>1166.66505</v>
      </c>
      <c r="M11" s="23">
        <f t="shared" si="4"/>
        <v>1166.66505</v>
      </c>
      <c r="N11" s="23">
        <f t="shared" si="4"/>
        <v>916.66505</v>
      </c>
      <c r="O11" s="23">
        <f t="shared" si="4"/>
        <v>2621.66505</v>
      </c>
      <c r="P11" s="19"/>
      <c r="Q11" s="23">
        <f>Q9-Q10</f>
        <v>13160.81555</v>
      </c>
      <c r="S11" s="7"/>
      <c r="T11" s="7"/>
      <c r="U11" s="7"/>
      <c r="V11" s="7"/>
    </row>
    <row r="12" ht="19.5" customHeight="1">
      <c r="A12" s="7"/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9"/>
      <c r="Q12" s="7"/>
      <c r="S12" s="7"/>
      <c r="T12" s="7"/>
      <c r="U12" s="7"/>
      <c r="V12" s="7"/>
    </row>
    <row r="13" ht="31.5" customHeight="1">
      <c r="A13" s="8"/>
      <c r="B13" s="24" t="s">
        <v>23</v>
      </c>
      <c r="C13" s="15" t="s">
        <v>6</v>
      </c>
      <c r="D13" s="25" t="s">
        <v>7</v>
      </c>
      <c r="E13" s="25" t="s">
        <v>8</v>
      </c>
      <c r="F13" s="25" t="s">
        <v>9</v>
      </c>
      <c r="G13" s="25" t="s">
        <v>10</v>
      </c>
      <c r="H13" s="25" t="s">
        <v>11</v>
      </c>
      <c r="I13" s="25" t="s">
        <v>12</v>
      </c>
      <c r="J13" s="25" t="s">
        <v>13</v>
      </c>
      <c r="K13" s="25" t="s">
        <v>14</v>
      </c>
      <c r="L13" s="25" t="s">
        <v>15</v>
      </c>
      <c r="M13" s="25" t="s">
        <v>16</v>
      </c>
      <c r="N13" s="25" t="s">
        <v>17</v>
      </c>
      <c r="O13" s="25" t="s">
        <v>18</v>
      </c>
      <c r="P13" s="11"/>
      <c r="Q13" s="25" t="s">
        <v>19</v>
      </c>
      <c r="S13" s="8"/>
      <c r="T13" s="8"/>
      <c r="U13" s="8"/>
      <c r="V13" s="8"/>
      <c r="W13" s="8"/>
      <c r="X13" s="8"/>
    </row>
    <row r="14" ht="19.5" customHeight="1">
      <c r="A14" s="7"/>
      <c r="B14" s="26" t="s">
        <v>24</v>
      </c>
      <c r="C14" s="27"/>
      <c r="D14" s="28">
        <f>5000+5000</f>
        <v>10000</v>
      </c>
      <c r="E14" s="28">
        <v>10833.33</v>
      </c>
      <c r="F14" s="28">
        <v>10833.33</v>
      </c>
      <c r="G14" s="28">
        <v>10833.33</v>
      </c>
      <c r="H14" s="28">
        <v>10833.33</v>
      </c>
      <c r="I14" s="28">
        <v>10833.33</v>
      </c>
      <c r="J14" s="28">
        <v>10833.33</v>
      </c>
      <c r="K14" s="28">
        <v>10833.33</v>
      </c>
      <c r="L14" s="28">
        <v>10833.33</v>
      </c>
      <c r="M14" s="28">
        <v>10833.33</v>
      </c>
      <c r="N14" s="28">
        <v>10833.33</v>
      </c>
      <c r="O14" s="28">
        <v>10833.33</v>
      </c>
      <c r="P14" s="19"/>
      <c r="Q14" s="29">
        <f t="shared" ref="Q14:Q19" si="5">SUM(D14:O14)</f>
        <v>129166.63</v>
      </c>
      <c r="S14" s="7"/>
      <c r="T14" s="7"/>
      <c r="U14" s="7"/>
      <c r="V14" s="7"/>
    </row>
    <row r="15" ht="19.5" customHeight="1">
      <c r="A15" s="7"/>
      <c r="B15" s="26" t="s">
        <v>25</v>
      </c>
      <c r="C15" s="27"/>
      <c r="D15" s="28">
        <v>2500.0</v>
      </c>
      <c r="E15" s="28">
        <v>0.0</v>
      </c>
      <c r="F15" s="28">
        <v>0.0</v>
      </c>
      <c r="G15" s="28">
        <v>2000.0</v>
      </c>
      <c r="H15" s="29">
        <v>0.0</v>
      </c>
      <c r="I15" s="29">
        <v>0.0</v>
      </c>
      <c r="J15" s="29">
        <v>0.0</v>
      </c>
      <c r="K15" s="29">
        <v>0.0</v>
      </c>
      <c r="L15" s="29">
        <v>0.0</v>
      </c>
      <c r="M15" s="29">
        <v>0.0</v>
      </c>
      <c r="N15" s="29">
        <v>0.0</v>
      </c>
      <c r="O15" s="28">
        <v>3000.0</v>
      </c>
      <c r="P15" s="19"/>
      <c r="Q15" s="29">
        <f t="shared" si="5"/>
        <v>7500</v>
      </c>
      <c r="S15" s="7"/>
      <c r="T15" s="7"/>
      <c r="U15" s="7"/>
      <c r="V15" s="7"/>
    </row>
    <row r="16" ht="19.5" customHeight="1">
      <c r="A16" s="7"/>
      <c r="B16" s="26" t="s">
        <v>26</v>
      </c>
      <c r="C16" s="27"/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0.0</v>
      </c>
      <c r="L16" s="29">
        <v>0.0</v>
      </c>
      <c r="M16" s="29">
        <v>0.0</v>
      </c>
      <c r="N16" s="29">
        <v>0.0</v>
      </c>
      <c r="O16" s="29">
        <v>0.0</v>
      </c>
      <c r="P16" s="19"/>
      <c r="Q16" s="29">
        <f t="shared" si="5"/>
        <v>0</v>
      </c>
      <c r="S16" s="7"/>
      <c r="T16" s="7"/>
      <c r="U16" s="7"/>
      <c r="V16" s="7"/>
    </row>
    <row r="17" ht="19.5" customHeight="1">
      <c r="A17" s="7"/>
      <c r="B17" s="26" t="s">
        <v>111</v>
      </c>
      <c r="C17" s="27"/>
      <c r="D17" s="29">
        <v>0.0</v>
      </c>
      <c r="E17" s="29">
        <v>0.0</v>
      </c>
      <c r="F17" s="29">
        <v>0.0</v>
      </c>
      <c r="G17" s="29">
        <v>0.0</v>
      </c>
      <c r="H17" s="29">
        <v>0.0</v>
      </c>
      <c r="I17" s="29">
        <v>0.0</v>
      </c>
      <c r="J17" s="29">
        <v>0.0</v>
      </c>
      <c r="K17" s="29">
        <v>0.0</v>
      </c>
      <c r="L17" s="29">
        <v>0.0</v>
      </c>
      <c r="M17" s="29">
        <v>0.0</v>
      </c>
      <c r="N17" s="29">
        <v>0.0</v>
      </c>
      <c r="O17" s="29">
        <v>0.0</v>
      </c>
      <c r="P17" s="19"/>
      <c r="Q17" s="29">
        <f t="shared" si="5"/>
        <v>0</v>
      </c>
      <c r="S17" s="7"/>
      <c r="T17" s="7"/>
      <c r="U17" s="7"/>
      <c r="V17" s="7"/>
    </row>
    <row r="18" ht="19.5" customHeight="1">
      <c r="A18" s="7"/>
      <c r="B18" s="26" t="s">
        <v>28</v>
      </c>
      <c r="C18" s="27"/>
      <c r="D18" s="28"/>
      <c r="E18" s="29">
        <v>0.0</v>
      </c>
      <c r="F18" s="29">
        <v>0.0</v>
      </c>
      <c r="G18" s="28">
        <v>9000.0</v>
      </c>
      <c r="H18" s="29">
        <v>0.0</v>
      </c>
      <c r="I18" s="29">
        <v>0.0</v>
      </c>
      <c r="J18" s="29">
        <v>0.0</v>
      </c>
      <c r="K18" s="29">
        <v>0.0</v>
      </c>
      <c r="L18" s="29">
        <v>0.0</v>
      </c>
      <c r="M18" s="29">
        <v>0.0</v>
      </c>
      <c r="N18" s="29">
        <v>0.0</v>
      </c>
      <c r="O18" s="29">
        <v>0.0</v>
      </c>
      <c r="P18" s="19"/>
      <c r="Q18" s="29">
        <f t="shared" si="5"/>
        <v>9000</v>
      </c>
      <c r="S18" s="7"/>
      <c r="T18" s="7"/>
      <c r="U18" s="7"/>
      <c r="V18" s="7"/>
    </row>
    <row r="19" ht="19.5" customHeight="1">
      <c r="A19" s="7"/>
      <c r="B19" s="26" t="s">
        <v>29</v>
      </c>
      <c r="C19" s="27"/>
      <c r="D19" s="28">
        <v>0.0</v>
      </c>
      <c r="E19" s="28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0.0</v>
      </c>
      <c r="O19" s="29">
        <v>0.0</v>
      </c>
      <c r="P19" s="19"/>
      <c r="Q19" s="29">
        <f t="shared" si="5"/>
        <v>0</v>
      </c>
      <c r="S19" s="7"/>
      <c r="T19" s="7"/>
      <c r="U19" s="7"/>
      <c r="V19" s="7"/>
    </row>
    <row r="20" ht="19.5" customHeight="1">
      <c r="A20" s="7"/>
      <c r="B20" s="16" t="s">
        <v>30</v>
      </c>
      <c r="C20" s="17"/>
      <c r="D20" s="18">
        <f t="shared" ref="D20:O20" si="6">SUM(D14:D19)</f>
        <v>12500</v>
      </c>
      <c r="E20" s="18">
        <f t="shared" si="6"/>
        <v>10833.33</v>
      </c>
      <c r="F20" s="18">
        <f t="shared" si="6"/>
        <v>10833.33</v>
      </c>
      <c r="G20" s="18">
        <f t="shared" si="6"/>
        <v>21833.33</v>
      </c>
      <c r="H20" s="18">
        <f t="shared" si="6"/>
        <v>10833.33</v>
      </c>
      <c r="I20" s="18">
        <f t="shared" si="6"/>
        <v>10833.33</v>
      </c>
      <c r="J20" s="18">
        <f t="shared" si="6"/>
        <v>10833.33</v>
      </c>
      <c r="K20" s="18">
        <f t="shared" si="6"/>
        <v>10833.33</v>
      </c>
      <c r="L20" s="18">
        <f t="shared" si="6"/>
        <v>10833.33</v>
      </c>
      <c r="M20" s="18">
        <f t="shared" si="6"/>
        <v>10833.33</v>
      </c>
      <c r="N20" s="18">
        <f t="shared" si="6"/>
        <v>10833.33</v>
      </c>
      <c r="O20" s="18">
        <f t="shared" si="6"/>
        <v>13833.33</v>
      </c>
      <c r="P20" s="19"/>
      <c r="Q20" s="18">
        <f>SUM(Q14:Q19)</f>
        <v>145666.63</v>
      </c>
      <c r="S20" s="7"/>
      <c r="T20" s="7"/>
      <c r="U20" s="7"/>
      <c r="V20" s="7"/>
    </row>
    <row r="21" ht="19.5" customHeight="1">
      <c r="A21" s="7"/>
      <c r="B21" s="7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9"/>
      <c r="Q21" s="7"/>
      <c r="S21" s="7"/>
      <c r="T21" s="7"/>
      <c r="U21" s="7"/>
      <c r="V21" s="7"/>
    </row>
    <row r="22" ht="31.5" hidden="1" customHeight="1">
      <c r="A22" s="7"/>
      <c r="B22" s="24" t="s">
        <v>31</v>
      </c>
      <c r="C22" s="15" t="s">
        <v>6</v>
      </c>
      <c r="D22" s="15" t="s">
        <v>7</v>
      </c>
      <c r="E22" s="15" t="s">
        <v>8</v>
      </c>
      <c r="F22" s="15" t="s">
        <v>9</v>
      </c>
      <c r="G22" s="15" t="s">
        <v>10</v>
      </c>
      <c r="H22" s="15" t="s">
        <v>11</v>
      </c>
      <c r="I22" s="15" t="s">
        <v>12</v>
      </c>
      <c r="J22" s="15" t="s">
        <v>13</v>
      </c>
      <c r="K22" s="15" t="s">
        <v>14</v>
      </c>
      <c r="L22" s="15" t="s">
        <v>15</v>
      </c>
      <c r="M22" s="15" t="s">
        <v>16</v>
      </c>
      <c r="N22" s="15" t="s">
        <v>17</v>
      </c>
      <c r="O22" s="15" t="s">
        <v>18</v>
      </c>
      <c r="P22" s="19"/>
      <c r="Q22" s="25" t="s">
        <v>19</v>
      </c>
      <c r="S22" s="7"/>
      <c r="T22" s="7"/>
      <c r="U22" s="7"/>
      <c r="V22" s="7"/>
    </row>
    <row r="23" ht="19.5" hidden="1" customHeight="1">
      <c r="A23" s="30"/>
      <c r="B23" s="31" t="s">
        <v>32</v>
      </c>
      <c r="C23" s="27"/>
      <c r="D23" s="32">
        <v>0.0</v>
      </c>
      <c r="E23" s="32">
        <v>0.0</v>
      </c>
      <c r="F23" s="32">
        <v>0.0</v>
      </c>
      <c r="G23" s="33">
        <v>0.0</v>
      </c>
      <c r="H23" s="33">
        <v>0.0</v>
      </c>
      <c r="I23" s="33">
        <v>0.0</v>
      </c>
      <c r="J23" s="33">
        <v>0.0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  <c r="P23" s="19"/>
      <c r="Q23" s="33">
        <f t="shared" ref="Q23:Q27" si="7">SUM(D23:O23)</f>
        <v>0</v>
      </c>
      <c r="S23" s="30"/>
      <c r="T23" s="30"/>
      <c r="U23" s="30"/>
      <c r="V23" s="30"/>
    </row>
    <row r="24" ht="19.5" hidden="1" customHeight="1">
      <c r="A24" s="7"/>
      <c r="B24" s="31" t="s">
        <v>33</v>
      </c>
      <c r="C24" s="27"/>
      <c r="D24" s="32">
        <v>0.0</v>
      </c>
      <c r="E24" s="32">
        <v>0.0</v>
      </c>
      <c r="F24" s="32">
        <v>0.0</v>
      </c>
      <c r="G24" s="33">
        <v>0.0</v>
      </c>
      <c r="H24" s="33">
        <v>0.0</v>
      </c>
      <c r="I24" s="33">
        <v>0.0</v>
      </c>
      <c r="J24" s="33">
        <v>0.0</v>
      </c>
      <c r="K24" s="33">
        <v>0.0</v>
      </c>
      <c r="L24" s="33">
        <v>0.0</v>
      </c>
      <c r="M24" s="33">
        <v>0.0</v>
      </c>
      <c r="N24" s="33">
        <v>0.0</v>
      </c>
      <c r="O24" s="33">
        <v>0.0</v>
      </c>
      <c r="P24" s="34"/>
      <c r="Q24" s="33">
        <f t="shared" si="7"/>
        <v>0</v>
      </c>
      <c r="S24" s="7"/>
      <c r="T24" s="7"/>
      <c r="U24" s="7"/>
      <c r="V24" s="7"/>
    </row>
    <row r="25" ht="19.5" hidden="1" customHeight="1">
      <c r="A25" s="7"/>
      <c r="B25" s="31" t="s">
        <v>34</v>
      </c>
      <c r="C25" s="27"/>
      <c r="D25" s="32">
        <v>0.0</v>
      </c>
      <c r="E25" s="32">
        <v>0.0</v>
      </c>
      <c r="F25" s="32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4"/>
      <c r="Q25" s="33">
        <f t="shared" si="7"/>
        <v>0</v>
      </c>
      <c r="S25" s="7"/>
      <c r="T25" s="7"/>
      <c r="U25" s="7"/>
      <c r="V25" s="7"/>
    </row>
    <row r="26" ht="19.5" hidden="1" customHeight="1">
      <c r="A26" s="7"/>
      <c r="B26" s="31" t="s">
        <v>35</v>
      </c>
      <c r="C26" s="27"/>
      <c r="D26" s="32">
        <v>0.0</v>
      </c>
      <c r="E26" s="32">
        <v>0.0</v>
      </c>
      <c r="F26" s="32">
        <v>0.0</v>
      </c>
      <c r="G26" s="33">
        <v>0.0</v>
      </c>
      <c r="H26" s="33">
        <v>0.0</v>
      </c>
      <c r="I26" s="33">
        <v>0.0</v>
      </c>
      <c r="J26" s="33">
        <v>0.0</v>
      </c>
      <c r="K26" s="33">
        <v>0.0</v>
      </c>
      <c r="L26" s="33">
        <v>0.0</v>
      </c>
      <c r="M26" s="33">
        <v>0.0</v>
      </c>
      <c r="N26" s="33">
        <v>0.0</v>
      </c>
      <c r="O26" s="33">
        <v>0.0</v>
      </c>
      <c r="P26" s="34"/>
      <c r="Q26" s="33">
        <f t="shared" si="7"/>
        <v>0</v>
      </c>
      <c r="S26" s="7"/>
      <c r="T26" s="7"/>
      <c r="U26" s="7"/>
      <c r="V26" s="7"/>
    </row>
    <row r="27" ht="19.5" hidden="1" customHeight="1">
      <c r="A27" s="3"/>
      <c r="B27" s="31" t="s">
        <v>29</v>
      </c>
      <c r="C27" s="27"/>
      <c r="D27" s="32">
        <v>0.0</v>
      </c>
      <c r="E27" s="32">
        <v>0.0</v>
      </c>
      <c r="F27" s="32">
        <v>0.0</v>
      </c>
      <c r="G27" s="33">
        <v>0.0</v>
      </c>
      <c r="H27" s="33">
        <v>0.0</v>
      </c>
      <c r="I27" s="33">
        <v>0.0</v>
      </c>
      <c r="J27" s="33">
        <v>0.0</v>
      </c>
      <c r="K27" s="33">
        <v>0.0</v>
      </c>
      <c r="L27" s="33">
        <v>0.0</v>
      </c>
      <c r="M27" s="33">
        <v>0.0</v>
      </c>
      <c r="N27" s="33">
        <v>0.0</v>
      </c>
      <c r="O27" s="33">
        <v>0.0</v>
      </c>
      <c r="P27" s="34"/>
      <c r="Q27" s="33">
        <f t="shared" si="7"/>
        <v>0</v>
      </c>
      <c r="S27" s="3"/>
      <c r="T27" s="3"/>
      <c r="U27" s="3"/>
      <c r="V27" s="3"/>
    </row>
    <row r="28" ht="19.5" hidden="1" customHeight="1">
      <c r="A28" s="7"/>
      <c r="B28" s="16" t="s">
        <v>36</v>
      </c>
      <c r="C28" s="17"/>
      <c r="D28" s="18">
        <f t="shared" ref="D28:O28" si="8">SUM(D23:D27)</f>
        <v>0</v>
      </c>
      <c r="E28" s="18">
        <f t="shared" si="8"/>
        <v>0</v>
      </c>
      <c r="F28" s="18">
        <f t="shared" si="8"/>
        <v>0</v>
      </c>
      <c r="G28" s="18">
        <f t="shared" si="8"/>
        <v>0</v>
      </c>
      <c r="H28" s="18">
        <f t="shared" si="8"/>
        <v>0</v>
      </c>
      <c r="I28" s="18">
        <f t="shared" si="8"/>
        <v>0</v>
      </c>
      <c r="J28" s="18">
        <f t="shared" si="8"/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9"/>
      <c r="Q28" s="18">
        <f>SUM(Q23:Q27)</f>
        <v>0</v>
      </c>
      <c r="S28" s="7"/>
      <c r="T28" s="7"/>
      <c r="U28" s="7"/>
      <c r="V28" s="7"/>
    </row>
    <row r="29" ht="19.5" hidden="1" customHeight="1">
      <c r="A29" s="7"/>
      <c r="B29" s="7"/>
      <c r="C29" s="1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9"/>
      <c r="Q29" s="7"/>
      <c r="S29" s="7"/>
      <c r="T29" s="7"/>
      <c r="U29" s="7"/>
      <c r="V29" s="7"/>
    </row>
    <row r="30" ht="19.5" customHeight="1">
      <c r="A30" s="7"/>
      <c r="B30" s="16" t="s">
        <v>37</v>
      </c>
      <c r="C30" s="17"/>
      <c r="D30" s="18">
        <f t="shared" ref="D30:O30" si="9">D20-D28</f>
        <v>12500</v>
      </c>
      <c r="E30" s="18">
        <f t="shared" si="9"/>
        <v>10833.33</v>
      </c>
      <c r="F30" s="18">
        <f t="shared" si="9"/>
        <v>10833.33</v>
      </c>
      <c r="G30" s="18">
        <f t="shared" si="9"/>
        <v>21833.33</v>
      </c>
      <c r="H30" s="18">
        <f t="shared" si="9"/>
        <v>10833.33</v>
      </c>
      <c r="I30" s="18">
        <f t="shared" si="9"/>
        <v>10833.33</v>
      </c>
      <c r="J30" s="18">
        <f t="shared" si="9"/>
        <v>10833.33</v>
      </c>
      <c r="K30" s="18">
        <f t="shared" si="9"/>
        <v>10833.33</v>
      </c>
      <c r="L30" s="18">
        <f t="shared" si="9"/>
        <v>10833.33</v>
      </c>
      <c r="M30" s="18">
        <f t="shared" si="9"/>
        <v>10833.33</v>
      </c>
      <c r="N30" s="18">
        <f t="shared" si="9"/>
        <v>10833.33</v>
      </c>
      <c r="O30" s="18">
        <f t="shared" si="9"/>
        <v>13833.33</v>
      </c>
      <c r="P30" s="19"/>
      <c r="Q30" s="18">
        <f>Q20-Q28</f>
        <v>145666.63</v>
      </c>
      <c r="S30" s="7"/>
      <c r="T30" s="7"/>
      <c r="U30" s="7"/>
      <c r="V30" s="7"/>
    </row>
    <row r="31" ht="19.5" customHeight="1">
      <c r="A31" s="7"/>
      <c r="B31" s="7"/>
      <c r="C31" s="1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9"/>
      <c r="Q31" s="7"/>
      <c r="S31" s="7"/>
      <c r="T31" s="7"/>
      <c r="U31" s="7"/>
      <c r="V31" s="7"/>
    </row>
    <row r="32" ht="31.5" customHeight="1">
      <c r="A32" s="7"/>
      <c r="B32" s="35" t="s">
        <v>38</v>
      </c>
      <c r="C32" s="15" t="s">
        <v>6</v>
      </c>
      <c r="D32" s="15" t="s">
        <v>7</v>
      </c>
      <c r="E32" s="15" t="s">
        <v>8</v>
      </c>
      <c r="F32" s="15" t="s">
        <v>9</v>
      </c>
      <c r="G32" s="15" t="s">
        <v>10</v>
      </c>
      <c r="H32" s="15" t="s">
        <v>11</v>
      </c>
      <c r="I32" s="15" t="s">
        <v>12</v>
      </c>
      <c r="J32" s="15" t="s">
        <v>13</v>
      </c>
      <c r="K32" s="15" t="s">
        <v>14</v>
      </c>
      <c r="L32" s="15" t="s">
        <v>15</v>
      </c>
      <c r="M32" s="15" t="s">
        <v>16</v>
      </c>
      <c r="N32" s="15" t="s">
        <v>17</v>
      </c>
      <c r="O32" s="15" t="s">
        <v>18</v>
      </c>
      <c r="P32" s="19"/>
      <c r="Q32" s="25" t="s">
        <v>19</v>
      </c>
      <c r="S32" s="7"/>
      <c r="T32" s="7"/>
      <c r="U32" s="7"/>
      <c r="V32" s="7"/>
    </row>
    <row r="33" ht="19.5" customHeight="1">
      <c r="A33" s="36">
        <v>0.175</v>
      </c>
      <c r="B33" s="26" t="s">
        <v>39</v>
      </c>
      <c r="C33" s="27"/>
      <c r="D33" s="32">
        <f>900+450+900</f>
        <v>2250</v>
      </c>
      <c r="E33" s="32">
        <f t="shared" ref="E33:N33" si="10">E14*$A$33</f>
        <v>1895.83275</v>
      </c>
      <c r="F33" s="32">
        <f t="shared" si="10"/>
        <v>1895.83275</v>
      </c>
      <c r="G33" s="32">
        <f t="shared" si="10"/>
        <v>1895.83275</v>
      </c>
      <c r="H33" s="32">
        <f t="shared" si="10"/>
        <v>1895.83275</v>
      </c>
      <c r="I33" s="32">
        <f t="shared" si="10"/>
        <v>1895.83275</v>
      </c>
      <c r="J33" s="32">
        <f t="shared" si="10"/>
        <v>1895.83275</v>
      </c>
      <c r="K33" s="32">
        <f t="shared" si="10"/>
        <v>1895.83275</v>
      </c>
      <c r="L33" s="32">
        <f t="shared" si="10"/>
        <v>1895.83275</v>
      </c>
      <c r="M33" s="32">
        <f t="shared" si="10"/>
        <v>1895.83275</v>
      </c>
      <c r="N33" s="32">
        <f t="shared" si="10"/>
        <v>1895.83275</v>
      </c>
      <c r="O33" s="32">
        <f>(O14+O15)*$A$33</f>
        <v>2420.83275</v>
      </c>
      <c r="P33" s="19"/>
      <c r="Q33" s="33">
        <f t="shared" ref="Q33:Q36" si="12">SUM(D33:O33)</f>
        <v>23629.16025</v>
      </c>
      <c r="S33" s="30"/>
      <c r="T33" s="30"/>
      <c r="U33" s="30"/>
      <c r="V33" s="30"/>
    </row>
    <row r="34" ht="19.5" customHeight="1">
      <c r="A34" s="36">
        <v>0.1</v>
      </c>
      <c r="B34" s="26" t="s">
        <v>40</v>
      </c>
      <c r="C34" s="27"/>
      <c r="D34" s="32">
        <f>512+250+512</f>
        <v>1274</v>
      </c>
      <c r="E34" s="32">
        <f t="shared" ref="E34:O34" si="11">E14*$A$34</f>
        <v>1083.333</v>
      </c>
      <c r="F34" s="32">
        <f t="shared" si="11"/>
        <v>1083.333</v>
      </c>
      <c r="G34" s="32">
        <f t="shared" si="11"/>
        <v>1083.333</v>
      </c>
      <c r="H34" s="32">
        <f t="shared" si="11"/>
        <v>1083.333</v>
      </c>
      <c r="I34" s="32">
        <f t="shared" si="11"/>
        <v>1083.333</v>
      </c>
      <c r="J34" s="32">
        <f t="shared" si="11"/>
        <v>1083.333</v>
      </c>
      <c r="K34" s="32">
        <f t="shared" si="11"/>
        <v>1083.333</v>
      </c>
      <c r="L34" s="32">
        <f t="shared" si="11"/>
        <v>1083.333</v>
      </c>
      <c r="M34" s="32">
        <f t="shared" si="11"/>
        <v>1083.333</v>
      </c>
      <c r="N34" s="32">
        <f t="shared" si="11"/>
        <v>1083.333</v>
      </c>
      <c r="O34" s="32">
        <f t="shared" si="11"/>
        <v>1083.333</v>
      </c>
      <c r="P34" s="34"/>
      <c r="Q34" s="33">
        <f t="shared" si="12"/>
        <v>13190.663</v>
      </c>
      <c r="S34" s="7"/>
      <c r="T34" s="7"/>
      <c r="U34" s="7"/>
      <c r="V34" s="7"/>
    </row>
    <row r="35" ht="19.5" customHeight="1">
      <c r="A35" s="54"/>
      <c r="B35" s="94" t="s">
        <v>106</v>
      </c>
      <c r="C35" s="95"/>
      <c r="D35" s="96">
        <v>2400.0</v>
      </c>
      <c r="E35" s="97"/>
      <c r="F35" s="98">
        <v>0.0</v>
      </c>
      <c r="G35" s="98">
        <v>0.0</v>
      </c>
      <c r="H35" s="98">
        <v>0.0</v>
      </c>
      <c r="I35" s="98">
        <v>0.0</v>
      </c>
      <c r="J35" s="98">
        <v>0.0</v>
      </c>
      <c r="K35" s="98">
        <v>0.0</v>
      </c>
      <c r="L35" s="98">
        <v>0.0</v>
      </c>
      <c r="M35" s="98">
        <v>0.0</v>
      </c>
      <c r="N35" s="98">
        <v>0.0</v>
      </c>
      <c r="O35" s="98">
        <v>0.0</v>
      </c>
      <c r="P35" s="99"/>
      <c r="Q35" s="98">
        <f t="shared" si="12"/>
        <v>2400</v>
      </c>
      <c r="R35" s="60"/>
      <c r="S35" s="54"/>
      <c r="T35" s="54"/>
      <c r="U35" s="54"/>
      <c r="V35" s="54"/>
      <c r="W35" s="60"/>
      <c r="X35" s="60"/>
      <c r="Y35" s="60"/>
      <c r="Z35" s="60"/>
    </row>
    <row r="36" ht="19.5" customHeight="1">
      <c r="A36" s="3"/>
      <c r="B36" s="31" t="s">
        <v>29</v>
      </c>
      <c r="C36" s="27"/>
      <c r="D36" s="32">
        <v>0.0</v>
      </c>
      <c r="E36" s="32"/>
      <c r="F36" s="32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0.0</v>
      </c>
      <c r="O36" s="33">
        <v>0.0</v>
      </c>
      <c r="P36" s="34"/>
      <c r="Q36" s="33">
        <f t="shared" si="12"/>
        <v>0</v>
      </c>
      <c r="S36" s="3"/>
      <c r="T36" s="3"/>
      <c r="U36" s="3"/>
      <c r="V36" s="3"/>
    </row>
    <row r="37" ht="19.5" customHeight="1">
      <c r="A37" s="7"/>
      <c r="B37" s="16" t="s">
        <v>41</v>
      </c>
      <c r="C37" s="17"/>
      <c r="D37" s="18">
        <f t="shared" ref="D37:O37" si="13">SUM(D33:D36)</f>
        <v>5924</v>
      </c>
      <c r="E37" s="18">
        <f t="shared" si="13"/>
        <v>2979.16575</v>
      </c>
      <c r="F37" s="18">
        <f t="shared" si="13"/>
        <v>2979.16575</v>
      </c>
      <c r="G37" s="18">
        <f t="shared" si="13"/>
        <v>2979.16575</v>
      </c>
      <c r="H37" s="18">
        <f t="shared" si="13"/>
        <v>2979.16575</v>
      </c>
      <c r="I37" s="18">
        <f t="shared" si="13"/>
        <v>2979.16575</v>
      </c>
      <c r="J37" s="18">
        <f t="shared" si="13"/>
        <v>2979.16575</v>
      </c>
      <c r="K37" s="18">
        <f t="shared" si="13"/>
        <v>2979.16575</v>
      </c>
      <c r="L37" s="18">
        <f t="shared" si="13"/>
        <v>2979.16575</v>
      </c>
      <c r="M37" s="18">
        <f t="shared" si="13"/>
        <v>2979.16575</v>
      </c>
      <c r="N37" s="18">
        <f t="shared" si="13"/>
        <v>2979.16575</v>
      </c>
      <c r="O37" s="18">
        <f t="shared" si="13"/>
        <v>3504.16575</v>
      </c>
      <c r="P37" s="19"/>
      <c r="Q37" s="18">
        <f>SUM(Q33:Q36)</f>
        <v>39219.82325</v>
      </c>
      <c r="S37" s="7"/>
      <c r="T37" s="7"/>
      <c r="U37" s="7"/>
      <c r="V37" s="7"/>
    </row>
    <row r="38" ht="19.5" customHeight="1">
      <c r="A38" s="7"/>
      <c r="B38" s="7"/>
      <c r="C38" s="19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19"/>
      <c r="Q38" s="7"/>
      <c r="S38" s="7"/>
      <c r="T38" s="7"/>
      <c r="U38" s="7"/>
      <c r="V38" s="7"/>
    </row>
    <row r="39" ht="19.5" customHeight="1">
      <c r="A39" s="7"/>
      <c r="B39" s="16" t="s">
        <v>20</v>
      </c>
      <c r="C39" s="17"/>
      <c r="D39" s="18">
        <f t="shared" ref="D39:O39" si="14">D20-D28-D37</f>
        <v>6576</v>
      </c>
      <c r="E39" s="18">
        <f t="shared" si="14"/>
        <v>7854.16425</v>
      </c>
      <c r="F39" s="18">
        <f t="shared" si="14"/>
        <v>7854.16425</v>
      </c>
      <c r="G39" s="18">
        <f t="shared" si="14"/>
        <v>18854.16425</v>
      </c>
      <c r="H39" s="18">
        <f t="shared" si="14"/>
        <v>7854.16425</v>
      </c>
      <c r="I39" s="18">
        <f t="shared" si="14"/>
        <v>7854.16425</v>
      </c>
      <c r="J39" s="18">
        <f t="shared" si="14"/>
        <v>7854.16425</v>
      </c>
      <c r="K39" s="18">
        <f t="shared" si="14"/>
        <v>7854.16425</v>
      </c>
      <c r="L39" s="18">
        <f t="shared" si="14"/>
        <v>7854.16425</v>
      </c>
      <c r="M39" s="18">
        <f t="shared" si="14"/>
        <v>7854.16425</v>
      </c>
      <c r="N39" s="18">
        <f t="shared" si="14"/>
        <v>7854.16425</v>
      </c>
      <c r="O39" s="18">
        <f t="shared" si="14"/>
        <v>10329.16425</v>
      </c>
      <c r="P39" s="19"/>
      <c r="Q39" s="18">
        <f>Q20-Q28-Q37</f>
        <v>106446.8068</v>
      </c>
      <c r="S39" s="7"/>
      <c r="T39" s="7"/>
      <c r="U39" s="7"/>
      <c r="V39" s="7"/>
    </row>
    <row r="40" ht="19.5" customHeight="1">
      <c r="A40" s="7"/>
      <c r="B40" s="12"/>
      <c r="C40" s="19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9"/>
      <c r="Q40" s="13"/>
      <c r="S40" s="7"/>
      <c r="T40" s="7"/>
      <c r="U40" s="7"/>
      <c r="V40" s="7"/>
    </row>
    <row r="41" ht="31.5" customHeight="1">
      <c r="A41" s="7"/>
      <c r="B41" s="24" t="s">
        <v>42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8"/>
      <c r="P41" s="19"/>
      <c r="Q41" s="39"/>
      <c r="S41" s="7"/>
      <c r="T41" s="7"/>
      <c r="U41" s="7"/>
      <c r="V41" s="7"/>
    </row>
    <row r="42" ht="19.5" hidden="1" customHeight="1">
      <c r="A42" s="7"/>
      <c r="B42" s="40" t="s">
        <v>43</v>
      </c>
      <c r="C42" s="25" t="s">
        <v>6</v>
      </c>
      <c r="D42" s="41" t="s">
        <v>7</v>
      </c>
      <c r="E42" s="41" t="s">
        <v>8</v>
      </c>
      <c r="F42" s="41" t="s">
        <v>9</v>
      </c>
      <c r="G42" s="41" t="s">
        <v>10</v>
      </c>
      <c r="H42" s="41" t="s">
        <v>11</v>
      </c>
      <c r="I42" s="41" t="s">
        <v>12</v>
      </c>
      <c r="J42" s="41" t="s">
        <v>13</v>
      </c>
      <c r="K42" s="41" t="s">
        <v>14</v>
      </c>
      <c r="L42" s="41" t="s">
        <v>15</v>
      </c>
      <c r="M42" s="41" t="s">
        <v>16</v>
      </c>
      <c r="N42" s="41" t="s">
        <v>17</v>
      </c>
      <c r="O42" s="41" t="s">
        <v>18</v>
      </c>
      <c r="P42" s="19"/>
      <c r="Q42" s="25" t="s">
        <v>19</v>
      </c>
      <c r="S42" s="7"/>
      <c r="T42" s="7"/>
      <c r="U42" s="7"/>
      <c r="V42" s="7"/>
    </row>
    <row r="43" ht="19.5" hidden="1" customHeight="1">
      <c r="A43" s="7"/>
      <c r="B43" s="31" t="s">
        <v>44</v>
      </c>
      <c r="C43" s="27"/>
      <c r="D43" s="28">
        <v>0.0</v>
      </c>
      <c r="E43" s="28">
        <v>0.0</v>
      </c>
      <c r="F43" s="28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42"/>
      <c r="Q43" s="29">
        <f t="shared" ref="Q43:Q51" si="15">SUM(D43:O43)</f>
        <v>0</v>
      </c>
      <c r="R43" s="7"/>
      <c r="S43" s="7"/>
      <c r="T43" s="7"/>
      <c r="U43" s="7"/>
      <c r="V43" s="7"/>
      <c r="W43" s="7"/>
      <c r="X43" s="7"/>
    </row>
    <row r="44" ht="19.5" hidden="1" customHeight="1">
      <c r="A44" s="43"/>
      <c r="B44" s="31" t="s">
        <v>45</v>
      </c>
      <c r="C44" s="27"/>
      <c r="D44" s="29">
        <v>0.0</v>
      </c>
      <c r="E44" s="29">
        <v>0.0</v>
      </c>
      <c r="F44" s="29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19"/>
      <c r="Q44" s="29">
        <f t="shared" si="15"/>
        <v>0</v>
      </c>
      <c r="S44" s="43"/>
      <c r="T44" s="43"/>
      <c r="U44" s="43"/>
      <c r="V44" s="43"/>
      <c r="W44" s="43"/>
      <c r="X44" s="43"/>
      <c r="Y44" s="43"/>
      <c r="Z44" s="43"/>
    </row>
    <row r="45" ht="19.5" hidden="1" customHeight="1">
      <c r="A45" s="7"/>
      <c r="B45" s="31" t="s">
        <v>46</v>
      </c>
      <c r="C45" s="27"/>
      <c r="D45" s="28">
        <v>0.0</v>
      </c>
      <c r="E45" s="28">
        <v>0.0</v>
      </c>
      <c r="F45" s="28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42"/>
      <c r="Q45" s="29">
        <f t="shared" si="15"/>
        <v>0</v>
      </c>
      <c r="R45" s="7"/>
      <c r="S45" s="7"/>
      <c r="T45" s="7"/>
      <c r="U45" s="7"/>
      <c r="V45" s="7"/>
      <c r="W45" s="7"/>
      <c r="X45" s="7"/>
    </row>
    <row r="46" ht="19.5" hidden="1" customHeight="1">
      <c r="A46" s="7"/>
      <c r="B46" s="31" t="s">
        <v>47</v>
      </c>
      <c r="C46" s="27"/>
      <c r="D46" s="29">
        <v>0.0</v>
      </c>
      <c r="E46" s="29">
        <v>0.0</v>
      </c>
      <c r="F46" s="29">
        <v>0.0</v>
      </c>
      <c r="G46" s="29">
        <v>0.0</v>
      </c>
      <c r="H46" s="29">
        <v>0.0</v>
      </c>
      <c r="I46" s="29">
        <v>0.0</v>
      </c>
      <c r="J46" s="29">
        <v>0.0</v>
      </c>
      <c r="K46" s="29">
        <v>0.0</v>
      </c>
      <c r="L46" s="29">
        <v>0.0</v>
      </c>
      <c r="M46" s="29">
        <v>0.0</v>
      </c>
      <c r="N46" s="29">
        <v>0.0</v>
      </c>
      <c r="O46" s="29">
        <v>0.0</v>
      </c>
      <c r="P46" s="19"/>
      <c r="Q46" s="29">
        <f t="shared" si="15"/>
        <v>0</v>
      </c>
      <c r="S46" s="7"/>
      <c r="T46" s="7"/>
      <c r="U46" s="7"/>
      <c r="V46" s="7"/>
      <c r="W46" s="7"/>
      <c r="X46" s="7"/>
    </row>
    <row r="47" ht="19.5" hidden="1" customHeight="1">
      <c r="A47" s="7"/>
      <c r="B47" s="31" t="s">
        <v>48</v>
      </c>
      <c r="C47" s="27"/>
      <c r="D47" s="29">
        <v>0.0</v>
      </c>
      <c r="E47" s="29">
        <v>0.0</v>
      </c>
      <c r="F47" s="29">
        <v>0.0</v>
      </c>
      <c r="G47" s="29">
        <v>0.0</v>
      </c>
      <c r="H47" s="29">
        <v>0.0</v>
      </c>
      <c r="I47" s="29">
        <v>0.0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9">
        <v>0.0</v>
      </c>
      <c r="P47" s="19"/>
      <c r="Q47" s="29">
        <f t="shared" si="15"/>
        <v>0</v>
      </c>
      <c r="S47" s="7"/>
      <c r="T47" s="7"/>
      <c r="U47" s="7"/>
      <c r="V47" s="7"/>
      <c r="W47" s="7"/>
      <c r="X47" s="7"/>
    </row>
    <row r="48" ht="19.5" hidden="1" customHeight="1">
      <c r="A48" s="7"/>
      <c r="B48" s="31" t="s">
        <v>49</v>
      </c>
      <c r="C48" s="27"/>
      <c r="D48" s="29">
        <v>0.0</v>
      </c>
      <c r="E48" s="29">
        <v>0.0</v>
      </c>
      <c r="F48" s="29">
        <v>0.0</v>
      </c>
      <c r="G48" s="29">
        <v>0.0</v>
      </c>
      <c r="H48" s="29">
        <v>0.0</v>
      </c>
      <c r="I48" s="29">
        <v>0.0</v>
      </c>
      <c r="J48" s="29">
        <v>0.0</v>
      </c>
      <c r="K48" s="29">
        <v>0.0</v>
      </c>
      <c r="L48" s="29">
        <v>0.0</v>
      </c>
      <c r="M48" s="29">
        <v>0.0</v>
      </c>
      <c r="N48" s="29">
        <v>0.0</v>
      </c>
      <c r="O48" s="29">
        <v>0.0</v>
      </c>
      <c r="P48" s="42"/>
      <c r="Q48" s="29">
        <f t="shared" si="15"/>
        <v>0</v>
      </c>
      <c r="R48" s="7"/>
      <c r="S48" s="7"/>
      <c r="T48" s="7"/>
      <c r="U48" s="7"/>
      <c r="V48" s="7"/>
      <c r="W48" s="7"/>
      <c r="X48" s="7"/>
    </row>
    <row r="49" ht="19.5" hidden="1" customHeight="1">
      <c r="A49" s="43"/>
      <c r="B49" s="31" t="s">
        <v>50</v>
      </c>
      <c r="C49" s="27"/>
      <c r="D49" s="29">
        <v>0.0</v>
      </c>
      <c r="E49" s="29">
        <v>0.0</v>
      </c>
      <c r="F49" s="29">
        <v>0.0</v>
      </c>
      <c r="G49" s="29">
        <v>0.0</v>
      </c>
      <c r="H49" s="29">
        <v>0.0</v>
      </c>
      <c r="I49" s="29">
        <v>0.0</v>
      </c>
      <c r="J49" s="29">
        <v>0.0</v>
      </c>
      <c r="K49" s="29">
        <v>0.0</v>
      </c>
      <c r="L49" s="29">
        <v>0.0</v>
      </c>
      <c r="M49" s="29">
        <v>0.0</v>
      </c>
      <c r="N49" s="29">
        <v>0.0</v>
      </c>
      <c r="O49" s="29">
        <v>0.0</v>
      </c>
      <c r="P49" s="19"/>
      <c r="Q49" s="29">
        <f t="shared" si="15"/>
        <v>0</v>
      </c>
      <c r="S49" s="43"/>
      <c r="T49" s="43"/>
      <c r="U49" s="43"/>
      <c r="V49" s="43"/>
      <c r="W49" s="43"/>
      <c r="X49" s="43"/>
      <c r="Y49" s="43"/>
      <c r="Z49" s="43"/>
    </row>
    <row r="50" ht="19.5" hidden="1" customHeight="1">
      <c r="A50" s="7"/>
      <c r="B50" s="31" t="s">
        <v>51</v>
      </c>
      <c r="C50" s="27"/>
      <c r="D50" s="29">
        <v>0.0</v>
      </c>
      <c r="E50" s="28">
        <v>0.0</v>
      </c>
      <c r="F50" s="29">
        <v>0.0</v>
      </c>
      <c r="G50" s="29">
        <v>0.0</v>
      </c>
      <c r="H50" s="29">
        <v>0.0</v>
      </c>
      <c r="I50" s="29">
        <v>0.0</v>
      </c>
      <c r="J50" s="29">
        <v>0.0</v>
      </c>
      <c r="K50" s="29">
        <v>0.0</v>
      </c>
      <c r="L50" s="29">
        <v>0.0</v>
      </c>
      <c r="M50" s="29">
        <v>0.0</v>
      </c>
      <c r="N50" s="29">
        <v>0.0</v>
      </c>
      <c r="O50" s="29">
        <v>0.0</v>
      </c>
      <c r="P50" s="42"/>
      <c r="Q50" s="29">
        <f t="shared" si="15"/>
        <v>0</v>
      </c>
      <c r="R50" s="7"/>
      <c r="S50" s="7"/>
      <c r="T50" s="7"/>
      <c r="U50" s="7"/>
      <c r="V50" s="7"/>
      <c r="W50" s="7"/>
      <c r="X50" s="7"/>
    </row>
    <row r="51" ht="19.5" hidden="1" customHeight="1">
      <c r="A51" s="7"/>
      <c r="B51" s="31" t="s">
        <v>29</v>
      </c>
      <c r="C51" s="27"/>
      <c r="D51" s="29">
        <v>0.0</v>
      </c>
      <c r="E51" s="29">
        <v>0.0</v>
      </c>
      <c r="F51" s="29">
        <v>0.0</v>
      </c>
      <c r="G51" s="29">
        <v>0.0</v>
      </c>
      <c r="H51" s="29">
        <v>0.0</v>
      </c>
      <c r="I51" s="29">
        <v>0.0</v>
      </c>
      <c r="J51" s="29">
        <v>0.0</v>
      </c>
      <c r="K51" s="29">
        <v>0.0</v>
      </c>
      <c r="L51" s="29">
        <v>0.0</v>
      </c>
      <c r="M51" s="29">
        <v>0.0</v>
      </c>
      <c r="N51" s="29">
        <v>0.0</v>
      </c>
      <c r="O51" s="29">
        <v>0.0</v>
      </c>
      <c r="P51" s="19"/>
      <c r="Q51" s="29">
        <f t="shared" si="15"/>
        <v>0</v>
      </c>
      <c r="S51" s="7"/>
      <c r="T51" s="7"/>
      <c r="U51" s="7"/>
      <c r="V51" s="7"/>
      <c r="W51" s="7"/>
      <c r="X51" s="7"/>
    </row>
    <row r="52" ht="19.5" hidden="1" customHeight="1">
      <c r="A52" s="7"/>
      <c r="B52" s="16" t="s">
        <v>52</v>
      </c>
      <c r="C52" s="17"/>
      <c r="D52" s="18">
        <f t="shared" ref="D52:O52" si="16">SUM(D43:D51)</f>
        <v>0</v>
      </c>
      <c r="E52" s="18">
        <f t="shared" si="16"/>
        <v>0</v>
      </c>
      <c r="F52" s="18">
        <f t="shared" si="16"/>
        <v>0</v>
      </c>
      <c r="G52" s="18">
        <f t="shared" si="16"/>
        <v>0</v>
      </c>
      <c r="H52" s="18">
        <f t="shared" si="16"/>
        <v>0</v>
      </c>
      <c r="I52" s="18">
        <f t="shared" si="16"/>
        <v>0</v>
      </c>
      <c r="J52" s="18">
        <f t="shared" si="16"/>
        <v>0</v>
      </c>
      <c r="K52" s="18">
        <f t="shared" si="16"/>
        <v>0</v>
      </c>
      <c r="L52" s="18">
        <f t="shared" si="16"/>
        <v>0</v>
      </c>
      <c r="M52" s="18">
        <f t="shared" si="16"/>
        <v>0</v>
      </c>
      <c r="N52" s="18">
        <f t="shared" si="16"/>
        <v>0</v>
      </c>
      <c r="O52" s="18">
        <f t="shared" si="16"/>
        <v>0</v>
      </c>
      <c r="P52" s="42"/>
      <c r="Q52" s="18">
        <f>SUM(Q43:Q51)</f>
        <v>0</v>
      </c>
      <c r="R52" s="7"/>
      <c r="S52" s="7"/>
      <c r="T52" s="7"/>
      <c r="U52" s="7"/>
      <c r="V52" s="7"/>
      <c r="W52" s="7"/>
      <c r="X52" s="7"/>
    </row>
    <row r="53" ht="19.5" hidden="1" customHeight="1">
      <c r="A53" s="7"/>
      <c r="B53" s="44"/>
      <c r="C53" s="7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7"/>
      <c r="Q53" s="44"/>
      <c r="R53" s="7"/>
      <c r="S53" s="7"/>
      <c r="T53" s="7"/>
      <c r="U53" s="7"/>
      <c r="V53" s="7"/>
      <c r="W53" s="7"/>
      <c r="X53" s="7"/>
    </row>
    <row r="54" ht="19.5" hidden="1" customHeight="1">
      <c r="A54" s="7"/>
      <c r="B54" s="45" t="s">
        <v>53</v>
      </c>
      <c r="C54" s="25" t="s">
        <v>6</v>
      </c>
      <c r="D54" s="25" t="s">
        <v>7</v>
      </c>
      <c r="E54" s="25" t="s">
        <v>8</v>
      </c>
      <c r="F54" s="25" t="s">
        <v>9</v>
      </c>
      <c r="G54" s="25" t="s">
        <v>10</v>
      </c>
      <c r="H54" s="25" t="s">
        <v>11</v>
      </c>
      <c r="I54" s="25" t="s">
        <v>12</v>
      </c>
      <c r="J54" s="25" t="s">
        <v>13</v>
      </c>
      <c r="K54" s="25" t="s">
        <v>14</v>
      </c>
      <c r="L54" s="25" t="s">
        <v>15</v>
      </c>
      <c r="M54" s="25" t="s">
        <v>16</v>
      </c>
      <c r="N54" s="25" t="s">
        <v>17</v>
      </c>
      <c r="O54" s="25" t="s">
        <v>18</v>
      </c>
      <c r="P54" s="7"/>
      <c r="Q54" s="25" t="s">
        <v>19</v>
      </c>
      <c r="R54" s="7"/>
      <c r="S54" s="7"/>
      <c r="T54" s="7"/>
      <c r="U54" s="7"/>
      <c r="V54" s="7"/>
      <c r="W54" s="7"/>
      <c r="X54" s="7"/>
    </row>
    <row r="55" ht="19.5" hidden="1" customHeight="1">
      <c r="A55" s="7"/>
      <c r="B55" s="31" t="s">
        <v>54</v>
      </c>
      <c r="C55" s="27"/>
      <c r="D55" s="29">
        <v>0.0</v>
      </c>
      <c r="E55" s="28">
        <v>0.0</v>
      </c>
      <c r="F55" s="29">
        <v>0.0</v>
      </c>
      <c r="G55" s="29">
        <v>0.0</v>
      </c>
      <c r="H55" s="29">
        <v>0.0</v>
      </c>
      <c r="I55" s="29">
        <v>0.0</v>
      </c>
      <c r="J55" s="29">
        <v>0.0</v>
      </c>
      <c r="K55" s="29">
        <v>0.0</v>
      </c>
      <c r="L55" s="29">
        <v>0.0</v>
      </c>
      <c r="M55" s="29">
        <v>0.0</v>
      </c>
      <c r="N55" s="29">
        <v>0.0</v>
      </c>
      <c r="O55" s="29">
        <v>0.0</v>
      </c>
      <c r="P55" s="7"/>
      <c r="Q55" s="29">
        <f t="shared" ref="Q55:Q59" si="17">SUM(D55:O55)</f>
        <v>0</v>
      </c>
      <c r="R55" s="7"/>
      <c r="S55" s="7"/>
      <c r="T55" s="7"/>
      <c r="U55" s="7"/>
      <c r="V55" s="7"/>
      <c r="W55" s="7"/>
      <c r="X55" s="7"/>
    </row>
    <row r="56" ht="19.5" hidden="1" customHeight="1">
      <c r="A56" s="7"/>
      <c r="B56" s="31" t="s">
        <v>55</v>
      </c>
      <c r="C56" s="27"/>
      <c r="D56" s="29">
        <v>0.0</v>
      </c>
      <c r="E56" s="29">
        <v>0.0</v>
      </c>
      <c r="F56" s="29">
        <v>0.0</v>
      </c>
      <c r="G56" s="29">
        <v>0.0</v>
      </c>
      <c r="H56" s="29">
        <v>0.0</v>
      </c>
      <c r="I56" s="29">
        <v>0.0</v>
      </c>
      <c r="J56" s="29">
        <v>0.0</v>
      </c>
      <c r="K56" s="29">
        <v>0.0</v>
      </c>
      <c r="L56" s="29">
        <v>0.0</v>
      </c>
      <c r="M56" s="29">
        <v>0.0</v>
      </c>
      <c r="N56" s="29">
        <v>0.0</v>
      </c>
      <c r="O56" s="29">
        <v>0.0</v>
      </c>
      <c r="P56" s="7"/>
      <c r="Q56" s="29">
        <f t="shared" si="17"/>
        <v>0</v>
      </c>
      <c r="R56" s="7"/>
      <c r="S56" s="7"/>
      <c r="T56" s="7"/>
      <c r="U56" s="7"/>
      <c r="V56" s="7"/>
      <c r="W56" s="7"/>
      <c r="X56" s="7"/>
    </row>
    <row r="57" ht="19.5" hidden="1" customHeight="1">
      <c r="A57" s="7"/>
      <c r="B57" s="31" t="s">
        <v>56</v>
      </c>
      <c r="C57" s="27"/>
      <c r="D57" s="29">
        <v>0.0</v>
      </c>
      <c r="E57" s="29">
        <v>0.0</v>
      </c>
      <c r="F57" s="29">
        <v>0.0</v>
      </c>
      <c r="G57" s="29">
        <v>0.0</v>
      </c>
      <c r="H57" s="29">
        <v>0.0</v>
      </c>
      <c r="I57" s="29">
        <v>0.0</v>
      </c>
      <c r="J57" s="29">
        <v>0.0</v>
      </c>
      <c r="K57" s="29">
        <v>0.0</v>
      </c>
      <c r="L57" s="29">
        <v>0.0</v>
      </c>
      <c r="M57" s="29">
        <v>0.0</v>
      </c>
      <c r="N57" s="29">
        <v>0.0</v>
      </c>
      <c r="O57" s="29">
        <v>0.0</v>
      </c>
      <c r="P57" s="7"/>
      <c r="Q57" s="29">
        <f t="shared" si="17"/>
        <v>0</v>
      </c>
      <c r="R57" s="7"/>
      <c r="S57" s="7"/>
      <c r="T57" s="7"/>
      <c r="U57" s="7"/>
      <c r="V57" s="7"/>
      <c r="W57" s="7"/>
      <c r="X57" s="7"/>
    </row>
    <row r="58" ht="19.5" hidden="1" customHeight="1">
      <c r="A58" s="7"/>
      <c r="B58" s="31" t="s">
        <v>29</v>
      </c>
      <c r="C58" s="27"/>
      <c r="D58" s="29">
        <v>0.0</v>
      </c>
      <c r="E58" s="29">
        <v>0.0</v>
      </c>
      <c r="F58" s="29">
        <v>0.0</v>
      </c>
      <c r="G58" s="29">
        <v>0.0</v>
      </c>
      <c r="H58" s="29">
        <v>0.0</v>
      </c>
      <c r="I58" s="29">
        <v>0.0</v>
      </c>
      <c r="J58" s="29">
        <v>0.0</v>
      </c>
      <c r="K58" s="29">
        <v>0.0</v>
      </c>
      <c r="L58" s="29">
        <v>0.0</v>
      </c>
      <c r="M58" s="29">
        <v>0.0</v>
      </c>
      <c r="N58" s="29">
        <v>0.0</v>
      </c>
      <c r="O58" s="29">
        <v>0.0</v>
      </c>
      <c r="P58" s="7"/>
      <c r="Q58" s="29">
        <f t="shared" si="17"/>
        <v>0</v>
      </c>
      <c r="R58" s="7"/>
      <c r="S58" s="7"/>
      <c r="T58" s="7"/>
      <c r="U58" s="7"/>
      <c r="V58" s="7"/>
      <c r="W58" s="7"/>
      <c r="X58" s="7"/>
    </row>
    <row r="59" ht="19.5" hidden="1" customHeight="1">
      <c r="A59" s="7"/>
      <c r="B59" s="31" t="s">
        <v>29</v>
      </c>
      <c r="C59" s="27"/>
      <c r="D59" s="29">
        <v>0.0</v>
      </c>
      <c r="E59" s="29">
        <v>0.0</v>
      </c>
      <c r="F59" s="29">
        <v>0.0</v>
      </c>
      <c r="G59" s="29">
        <v>0.0</v>
      </c>
      <c r="H59" s="29">
        <v>0.0</v>
      </c>
      <c r="I59" s="29">
        <v>0.0</v>
      </c>
      <c r="J59" s="29">
        <v>0.0</v>
      </c>
      <c r="K59" s="29">
        <v>0.0</v>
      </c>
      <c r="L59" s="29">
        <v>0.0</v>
      </c>
      <c r="M59" s="29">
        <v>0.0</v>
      </c>
      <c r="N59" s="29">
        <v>0.0</v>
      </c>
      <c r="O59" s="29">
        <v>0.0</v>
      </c>
      <c r="P59" s="7"/>
      <c r="Q59" s="29">
        <f t="shared" si="17"/>
        <v>0</v>
      </c>
      <c r="R59" s="7"/>
      <c r="S59" s="7"/>
      <c r="T59" s="7"/>
      <c r="U59" s="7"/>
      <c r="V59" s="7"/>
      <c r="W59" s="7"/>
      <c r="X59" s="7"/>
    </row>
    <row r="60" ht="19.5" hidden="1" customHeight="1">
      <c r="A60" s="7"/>
      <c r="B60" s="16" t="s">
        <v>57</v>
      </c>
      <c r="C60" s="17"/>
      <c r="D60" s="18">
        <f t="shared" ref="D60:O60" si="18">SUM(D55:D59)</f>
        <v>0</v>
      </c>
      <c r="E60" s="18">
        <f t="shared" si="18"/>
        <v>0</v>
      </c>
      <c r="F60" s="18">
        <f t="shared" si="18"/>
        <v>0</v>
      </c>
      <c r="G60" s="18">
        <f t="shared" si="18"/>
        <v>0</v>
      </c>
      <c r="H60" s="18">
        <f t="shared" si="18"/>
        <v>0</v>
      </c>
      <c r="I60" s="18">
        <f t="shared" si="18"/>
        <v>0</v>
      </c>
      <c r="J60" s="18">
        <f t="shared" si="18"/>
        <v>0</v>
      </c>
      <c r="K60" s="18">
        <f t="shared" si="18"/>
        <v>0</v>
      </c>
      <c r="L60" s="18">
        <f t="shared" si="18"/>
        <v>0</v>
      </c>
      <c r="M60" s="18">
        <f t="shared" si="18"/>
        <v>0</v>
      </c>
      <c r="N60" s="18">
        <f t="shared" si="18"/>
        <v>0</v>
      </c>
      <c r="O60" s="18">
        <f t="shared" si="18"/>
        <v>0</v>
      </c>
      <c r="P60" s="7"/>
      <c r="Q60" s="18">
        <f>SUM(Q55:Q59)</f>
        <v>0</v>
      </c>
      <c r="R60" s="7"/>
      <c r="S60" s="7"/>
      <c r="T60" s="7"/>
      <c r="U60" s="7"/>
      <c r="V60" s="7"/>
      <c r="W60" s="7"/>
      <c r="X60" s="7"/>
    </row>
    <row r="61" ht="19.5" hidden="1" customHeight="1">
      <c r="A61" s="7"/>
      <c r="B61" s="44"/>
      <c r="C61" s="7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7"/>
      <c r="Q61" s="44"/>
      <c r="R61" s="7"/>
      <c r="S61" s="7"/>
      <c r="T61" s="7"/>
      <c r="U61" s="7"/>
      <c r="V61" s="7"/>
      <c r="W61" s="7"/>
      <c r="X61" s="7"/>
    </row>
    <row r="62" ht="19.5" customHeight="1">
      <c r="A62" s="7"/>
      <c r="B62" s="46" t="s">
        <v>58</v>
      </c>
      <c r="C62" s="25" t="s">
        <v>6</v>
      </c>
      <c r="D62" s="25" t="s">
        <v>7</v>
      </c>
      <c r="E62" s="25" t="s">
        <v>8</v>
      </c>
      <c r="F62" s="25" t="s">
        <v>9</v>
      </c>
      <c r="G62" s="25" t="s">
        <v>10</v>
      </c>
      <c r="H62" s="25" t="s">
        <v>11</v>
      </c>
      <c r="I62" s="25" t="s">
        <v>12</v>
      </c>
      <c r="J62" s="25" t="s">
        <v>13</v>
      </c>
      <c r="K62" s="25" t="s">
        <v>14</v>
      </c>
      <c r="L62" s="25" t="s">
        <v>15</v>
      </c>
      <c r="M62" s="25" t="s">
        <v>16</v>
      </c>
      <c r="N62" s="25" t="s">
        <v>17</v>
      </c>
      <c r="O62" s="25" t="s">
        <v>18</v>
      </c>
      <c r="P62" s="7"/>
      <c r="Q62" s="25" t="s">
        <v>19</v>
      </c>
      <c r="R62" s="7"/>
      <c r="S62" s="7"/>
      <c r="T62" s="7"/>
      <c r="U62" s="7"/>
      <c r="V62" s="7"/>
      <c r="W62" s="7"/>
      <c r="X62" s="7"/>
    </row>
    <row r="63" ht="19.5" customHeight="1">
      <c r="A63" s="7"/>
      <c r="B63" s="26" t="s">
        <v>59</v>
      </c>
      <c r="C63" s="27"/>
      <c r="D63" s="28">
        <v>1345.0</v>
      </c>
      <c r="E63" s="28">
        <v>1345.0</v>
      </c>
      <c r="F63" s="28">
        <v>1345.0</v>
      </c>
      <c r="G63" s="28">
        <v>1345.0</v>
      </c>
      <c r="H63" s="28">
        <v>1345.0</v>
      </c>
      <c r="I63" s="28">
        <v>1345.0</v>
      </c>
      <c r="J63" s="28">
        <v>1345.0</v>
      </c>
      <c r="K63" s="28">
        <v>6600.0</v>
      </c>
      <c r="L63" s="28">
        <v>2500.0</v>
      </c>
      <c r="M63" s="28">
        <v>2500.0</v>
      </c>
      <c r="N63" s="28">
        <v>2500.0</v>
      </c>
      <c r="O63" s="28">
        <v>2500.0</v>
      </c>
      <c r="P63" s="7"/>
      <c r="Q63" s="29">
        <f t="shared" ref="Q63:Q67" si="19">SUM(D63:O63)</f>
        <v>26015</v>
      </c>
      <c r="R63" s="7"/>
      <c r="S63" s="7"/>
      <c r="T63" s="7"/>
      <c r="U63" s="7"/>
      <c r="V63" s="7"/>
      <c r="W63" s="7"/>
      <c r="X63" s="7"/>
    </row>
    <row r="64" ht="19.5" customHeight="1">
      <c r="A64" s="7"/>
      <c r="B64" s="26" t="s">
        <v>60</v>
      </c>
      <c r="C64" s="27"/>
      <c r="D64" s="28">
        <v>435.0</v>
      </c>
      <c r="E64" s="28">
        <v>435.0</v>
      </c>
      <c r="F64" s="28">
        <v>435.0</v>
      </c>
      <c r="G64" s="28">
        <v>435.0</v>
      </c>
      <c r="H64" s="28">
        <v>435.0</v>
      </c>
      <c r="I64" s="28">
        <v>435.0</v>
      </c>
      <c r="J64" s="28">
        <v>435.0</v>
      </c>
      <c r="K64" s="28">
        <v>435.0</v>
      </c>
      <c r="L64" s="28">
        <v>435.0</v>
      </c>
      <c r="M64" s="28">
        <v>435.0</v>
      </c>
      <c r="N64" s="28">
        <v>435.0</v>
      </c>
      <c r="O64" s="28">
        <v>435.0</v>
      </c>
      <c r="P64" s="7"/>
      <c r="Q64" s="29">
        <f t="shared" si="19"/>
        <v>5220</v>
      </c>
      <c r="R64" s="7"/>
      <c r="S64" s="7"/>
      <c r="T64" s="7"/>
      <c r="U64" s="7"/>
      <c r="V64" s="7"/>
      <c r="W64" s="7"/>
      <c r="X64" s="7"/>
    </row>
    <row r="65" ht="19.5" customHeight="1">
      <c r="A65" s="7"/>
      <c r="B65" s="26" t="s">
        <v>61</v>
      </c>
      <c r="C65" s="27"/>
      <c r="D65" s="28">
        <v>400.0</v>
      </c>
      <c r="E65" s="28">
        <v>400.0</v>
      </c>
      <c r="F65" s="28">
        <v>400.0</v>
      </c>
      <c r="G65" s="28">
        <v>7300.0</v>
      </c>
      <c r="H65" s="28">
        <v>0.0</v>
      </c>
      <c r="I65" s="28">
        <v>0.0</v>
      </c>
      <c r="J65" s="28">
        <v>0.0</v>
      </c>
      <c r="K65" s="28">
        <v>0.0</v>
      </c>
      <c r="L65" s="28">
        <v>0.0</v>
      </c>
      <c r="M65" s="28">
        <v>0.0</v>
      </c>
      <c r="N65" s="28">
        <v>0.0</v>
      </c>
      <c r="O65" s="28">
        <v>0.0</v>
      </c>
      <c r="P65" s="7"/>
      <c r="Q65" s="29">
        <f t="shared" si="19"/>
        <v>8500</v>
      </c>
      <c r="R65" s="7"/>
      <c r="S65" s="7"/>
      <c r="T65" s="7"/>
      <c r="U65" s="7"/>
      <c r="V65" s="7"/>
      <c r="W65" s="7"/>
      <c r="X65" s="7"/>
    </row>
    <row r="66" ht="19.5" customHeight="1">
      <c r="A66" s="7"/>
      <c r="B66" s="26" t="s">
        <v>62</v>
      </c>
      <c r="C66" s="27"/>
      <c r="D66" s="28">
        <v>200.0</v>
      </c>
      <c r="E66" s="28">
        <v>200.0</v>
      </c>
      <c r="F66" s="28">
        <v>1800.0</v>
      </c>
      <c r="G66" s="28">
        <v>0.0</v>
      </c>
      <c r="H66" s="28">
        <v>0.0</v>
      </c>
      <c r="I66" s="28">
        <v>0.0</v>
      </c>
      <c r="J66" s="28">
        <v>0.0</v>
      </c>
      <c r="K66" s="28">
        <v>0.0</v>
      </c>
      <c r="L66" s="28">
        <v>0.0</v>
      </c>
      <c r="M66" s="28">
        <v>0.0</v>
      </c>
      <c r="N66" s="28">
        <v>0.0</v>
      </c>
      <c r="O66" s="28">
        <v>0.0</v>
      </c>
      <c r="P66" s="7"/>
      <c r="Q66" s="29">
        <f t="shared" si="19"/>
        <v>2200</v>
      </c>
      <c r="R66" s="7"/>
      <c r="S66" s="7"/>
      <c r="T66" s="7"/>
      <c r="U66" s="7"/>
      <c r="V66" s="7"/>
      <c r="W66" s="7"/>
      <c r="X66" s="7"/>
    </row>
    <row r="67" ht="19.5" customHeight="1">
      <c r="A67" s="7"/>
      <c r="B67" s="31" t="s">
        <v>29</v>
      </c>
      <c r="C67" s="27"/>
      <c r="D67" s="28">
        <v>0.0</v>
      </c>
      <c r="E67" s="28">
        <v>0.0</v>
      </c>
      <c r="F67" s="29">
        <v>0.0</v>
      </c>
      <c r="G67" s="29">
        <v>0.0</v>
      </c>
      <c r="H67" s="29">
        <v>0.0</v>
      </c>
      <c r="I67" s="29">
        <v>0.0</v>
      </c>
      <c r="J67" s="29">
        <v>0.0</v>
      </c>
      <c r="K67" s="29">
        <v>0.0</v>
      </c>
      <c r="L67" s="29">
        <v>0.0</v>
      </c>
      <c r="M67" s="29">
        <v>0.0</v>
      </c>
      <c r="N67" s="29">
        <v>0.0</v>
      </c>
      <c r="O67" s="29">
        <v>0.0</v>
      </c>
      <c r="P67" s="7"/>
      <c r="Q67" s="29">
        <f t="shared" si="19"/>
        <v>0</v>
      </c>
      <c r="R67" s="7"/>
      <c r="S67" s="7"/>
      <c r="T67" s="7"/>
      <c r="U67" s="7"/>
      <c r="V67" s="7"/>
      <c r="W67" s="7"/>
      <c r="X67" s="7"/>
    </row>
    <row r="68" ht="19.5" customHeight="1">
      <c r="A68" s="7"/>
      <c r="B68" s="16" t="s">
        <v>63</v>
      </c>
      <c r="C68" s="17"/>
      <c r="D68" s="18">
        <f t="shared" ref="D68:O68" si="20">SUM(D63:D67)</f>
        <v>2380</v>
      </c>
      <c r="E68" s="18">
        <f t="shared" si="20"/>
        <v>2380</v>
      </c>
      <c r="F68" s="18">
        <f t="shared" si="20"/>
        <v>3980</v>
      </c>
      <c r="G68" s="18">
        <f t="shared" si="20"/>
        <v>9080</v>
      </c>
      <c r="H68" s="18">
        <f t="shared" si="20"/>
        <v>1780</v>
      </c>
      <c r="I68" s="18">
        <f t="shared" si="20"/>
        <v>1780</v>
      </c>
      <c r="J68" s="18">
        <f t="shared" si="20"/>
        <v>1780</v>
      </c>
      <c r="K68" s="18">
        <f t="shared" si="20"/>
        <v>7035</v>
      </c>
      <c r="L68" s="18">
        <f t="shared" si="20"/>
        <v>2935</v>
      </c>
      <c r="M68" s="18">
        <f t="shared" si="20"/>
        <v>2935</v>
      </c>
      <c r="N68" s="18">
        <f t="shared" si="20"/>
        <v>2935</v>
      </c>
      <c r="O68" s="18">
        <f t="shared" si="20"/>
        <v>2935</v>
      </c>
      <c r="P68" s="7"/>
      <c r="Q68" s="18">
        <f>SUM(Q63:Q67)</f>
        <v>41935</v>
      </c>
      <c r="R68" s="7"/>
      <c r="S68" s="7"/>
      <c r="T68" s="7"/>
      <c r="U68" s="7"/>
      <c r="V68" s="7"/>
      <c r="W68" s="7"/>
      <c r="X68" s="7"/>
    </row>
    <row r="69" ht="19.5" customHeight="1">
      <c r="A69" s="7"/>
      <c r="B69" s="47"/>
      <c r="C69" s="48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7"/>
      <c r="Q69" s="44"/>
      <c r="R69" s="7"/>
      <c r="S69" s="7"/>
      <c r="T69" s="7"/>
      <c r="U69" s="7"/>
      <c r="V69" s="7"/>
      <c r="W69" s="7"/>
      <c r="X69" s="7"/>
    </row>
    <row r="70" ht="19.5" customHeight="1">
      <c r="A70" s="7"/>
      <c r="B70" s="45" t="s">
        <v>64</v>
      </c>
      <c r="C70" s="25" t="s">
        <v>6</v>
      </c>
      <c r="D70" s="25" t="s">
        <v>7</v>
      </c>
      <c r="E70" s="25" t="s">
        <v>8</v>
      </c>
      <c r="F70" s="25" t="s">
        <v>9</v>
      </c>
      <c r="G70" s="25" t="s">
        <v>10</v>
      </c>
      <c r="H70" s="25" t="s">
        <v>11</v>
      </c>
      <c r="I70" s="25" t="s">
        <v>12</v>
      </c>
      <c r="J70" s="25" t="s">
        <v>13</v>
      </c>
      <c r="K70" s="25" t="s">
        <v>14</v>
      </c>
      <c r="L70" s="25" t="s">
        <v>15</v>
      </c>
      <c r="M70" s="25" t="s">
        <v>16</v>
      </c>
      <c r="N70" s="25" t="s">
        <v>17</v>
      </c>
      <c r="O70" s="25" t="s">
        <v>18</v>
      </c>
      <c r="P70" s="7"/>
      <c r="Q70" s="25" t="s">
        <v>19</v>
      </c>
      <c r="R70" s="7"/>
      <c r="S70" s="7"/>
      <c r="T70" s="7"/>
      <c r="U70" s="7"/>
      <c r="V70" s="7"/>
      <c r="W70" s="7"/>
      <c r="X70" s="7"/>
    </row>
    <row r="71" ht="19.5" customHeight="1">
      <c r="A71" s="7"/>
      <c r="B71" s="31" t="s">
        <v>65</v>
      </c>
      <c r="C71" s="27"/>
      <c r="D71" s="28">
        <v>375.0</v>
      </c>
      <c r="E71" s="28">
        <v>375.0</v>
      </c>
      <c r="F71" s="28">
        <v>375.0</v>
      </c>
      <c r="G71" s="28">
        <v>375.0</v>
      </c>
      <c r="H71" s="28">
        <v>0.0</v>
      </c>
      <c r="I71" s="28">
        <v>0.0</v>
      </c>
      <c r="J71" s="28">
        <v>0.0</v>
      </c>
      <c r="K71" s="28">
        <v>0.0</v>
      </c>
      <c r="L71" s="28">
        <v>0.0</v>
      </c>
      <c r="M71" s="28">
        <v>0.0</v>
      </c>
      <c r="N71" s="28">
        <v>0.0</v>
      </c>
      <c r="O71" s="28">
        <v>0.0</v>
      </c>
      <c r="P71" s="7"/>
      <c r="Q71" s="29">
        <f t="shared" ref="Q71:Q81" si="21">SUM(D71:O71)</f>
        <v>1500</v>
      </c>
      <c r="R71" s="7"/>
      <c r="S71" s="7"/>
      <c r="T71" s="7"/>
      <c r="U71" s="7"/>
      <c r="V71" s="7"/>
      <c r="W71" s="7"/>
      <c r="X71" s="7"/>
    </row>
    <row r="72" ht="19.5" customHeight="1">
      <c r="A72" s="7"/>
      <c r="B72" s="26" t="s">
        <v>66</v>
      </c>
      <c r="C72" s="27"/>
      <c r="D72" s="28">
        <v>20.0</v>
      </c>
      <c r="E72" s="28">
        <v>20.0</v>
      </c>
      <c r="F72" s="28">
        <v>20.0</v>
      </c>
      <c r="G72" s="28">
        <v>20.0</v>
      </c>
      <c r="H72" s="28">
        <v>20.0</v>
      </c>
      <c r="I72" s="28">
        <v>20.0</v>
      </c>
      <c r="J72" s="28">
        <v>20.0</v>
      </c>
      <c r="K72" s="28">
        <v>20.0</v>
      </c>
      <c r="L72" s="28">
        <v>20.0</v>
      </c>
      <c r="M72" s="28">
        <v>20.0</v>
      </c>
      <c r="N72" s="28">
        <v>20.0</v>
      </c>
      <c r="O72" s="28">
        <v>20.0</v>
      </c>
      <c r="P72" s="7"/>
      <c r="Q72" s="29">
        <f t="shared" si="21"/>
        <v>240</v>
      </c>
      <c r="R72" s="7"/>
      <c r="S72" s="7"/>
      <c r="T72" s="7"/>
      <c r="U72" s="7"/>
      <c r="V72" s="7"/>
      <c r="W72" s="7"/>
      <c r="X72" s="7"/>
    </row>
    <row r="73" ht="19.5" customHeight="1">
      <c r="A73" s="7"/>
      <c r="B73" s="26" t="s">
        <v>67</v>
      </c>
      <c r="C73" s="27"/>
      <c r="D73" s="28">
        <v>12.5</v>
      </c>
      <c r="E73" s="28">
        <v>12.5</v>
      </c>
      <c r="F73" s="28">
        <v>12.5</v>
      </c>
      <c r="G73" s="28">
        <v>12.5</v>
      </c>
      <c r="H73" s="28">
        <v>12.5</v>
      </c>
      <c r="I73" s="28">
        <v>12.5</v>
      </c>
      <c r="J73" s="28">
        <v>12.5</v>
      </c>
      <c r="K73" s="28">
        <v>12.5</v>
      </c>
      <c r="L73" s="28">
        <v>12.5</v>
      </c>
      <c r="M73" s="28">
        <v>12.5</v>
      </c>
      <c r="N73" s="28">
        <v>12.5</v>
      </c>
      <c r="O73" s="28">
        <v>12.5</v>
      </c>
      <c r="P73" s="7"/>
      <c r="Q73" s="29">
        <f t="shared" si="21"/>
        <v>150</v>
      </c>
      <c r="R73" s="7"/>
      <c r="S73" s="7"/>
      <c r="T73" s="7"/>
      <c r="U73" s="7"/>
      <c r="V73" s="7"/>
      <c r="W73" s="7"/>
      <c r="X73" s="7"/>
    </row>
    <row r="74" ht="19.5" customHeight="1">
      <c r="A74" s="7"/>
      <c r="B74" s="31" t="s">
        <v>68</v>
      </c>
      <c r="C74" s="27"/>
      <c r="D74" s="28">
        <v>0.0</v>
      </c>
      <c r="E74" s="28">
        <v>100.0</v>
      </c>
      <c r="F74" s="28">
        <v>100.0</v>
      </c>
      <c r="G74" s="28">
        <v>100.0</v>
      </c>
      <c r="H74" s="28">
        <v>100.0</v>
      </c>
      <c r="I74" s="28">
        <v>100.0</v>
      </c>
      <c r="J74" s="28">
        <v>100.0</v>
      </c>
      <c r="K74" s="28">
        <v>100.0</v>
      </c>
      <c r="L74" s="28">
        <v>100.0</v>
      </c>
      <c r="M74" s="28">
        <v>100.0</v>
      </c>
      <c r="N74" s="28">
        <v>100.0</v>
      </c>
      <c r="O74" s="28">
        <v>100.0</v>
      </c>
      <c r="P74" s="7"/>
      <c r="Q74" s="29">
        <f t="shared" si="21"/>
        <v>1100</v>
      </c>
      <c r="R74" s="7"/>
      <c r="S74" s="7"/>
      <c r="T74" s="7"/>
      <c r="U74" s="7"/>
      <c r="V74" s="7"/>
      <c r="W74" s="7"/>
      <c r="X74" s="7"/>
    </row>
    <row r="75" ht="19.5" customHeight="1">
      <c r="A75" s="7"/>
      <c r="B75" s="31" t="s">
        <v>69</v>
      </c>
      <c r="C75" s="27"/>
      <c r="D75" s="28">
        <v>125.0</v>
      </c>
      <c r="E75" s="28">
        <v>150.0</v>
      </c>
      <c r="F75" s="28">
        <v>250.0</v>
      </c>
      <c r="G75" s="28">
        <v>80.0</v>
      </c>
      <c r="H75" s="28">
        <v>80.0</v>
      </c>
      <c r="I75" s="28">
        <v>80.0</v>
      </c>
      <c r="J75" s="28">
        <v>80.0</v>
      </c>
      <c r="K75" s="28">
        <v>80.0</v>
      </c>
      <c r="L75" s="28">
        <v>80.0</v>
      </c>
      <c r="M75" s="28">
        <v>80.0</v>
      </c>
      <c r="N75" s="28">
        <v>80.0</v>
      </c>
      <c r="O75" s="28">
        <v>80.0</v>
      </c>
      <c r="P75" s="7"/>
      <c r="Q75" s="29">
        <f t="shared" si="21"/>
        <v>1245</v>
      </c>
      <c r="R75" s="7"/>
      <c r="S75" s="7"/>
      <c r="T75" s="7"/>
      <c r="U75" s="7"/>
      <c r="V75" s="7"/>
      <c r="W75" s="7"/>
      <c r="X75" s="7"/>
    </row>
    <row r="76" ht="19.5" customHeight="1">
      <c r="A76" s="7"/>
      <c r="B76" s="31" t="s">
        <v>70</v>
      </c>
      <c r="C76" s="27"/>
      <c r="D76" s="28">
        <v>50.0</v>
      </c>
      <c r="E76" s="28">
        <v>50.0</v>
      </c>
      <c r="F76" s="28">
        <v>50.0</v>
      </c>
      <c r="G76" s="28">
        <v>50.0</v>
      </c>
      <c r="H76" s="28">
        <v>50.0</v>
      </c>
      <c r="I76" s="28">
        <v>50.0</v>
      </c>
      <c r="J76" s="28">
        <v>50.0</v>
      </c>
      <c r="K76" s="28">
        <v>50.0</v>
      </c>
      <c r="L76" s="28">
        <v>50.0</v>
      </c>
      <c r="M76" s="28">
        <v>50.0</v>
      </c>
      <c r="N76" s="28">
        <v>50.0</v>
      </c>
      <c r="O76" s="28">
        <v>50.0</v>
      </c>
      <c r="P76" s="7"/>
      <c r="Q76" s="29">
        <f t="shared" si="21"/>
        <v>600</v>
      </c>
      <c r="R76" s="7"/>
      <c r="S76" s="7"/>
      <c r="T76" s="7"/>
      <c r="U76" s="7"/>
      <c r="V76" s="7"/>
      <c r="W76" s="7"/>
      <c r="X76" s="7"/>
    </row>
    <row r="77" ht="19.5" customHeight="1">
      <c r="A77" s="7"/>
      <c r="B77" s="31" t="s">
        <v>71</v>
      </c>
      <c r="C77" s="27"/>
      <c r="D77" s="28">
        <v>20.0</v>
      </c>
      <c r="E77" s="28">
        <v>200.0</v>
      </c>
      <c r="F77" s="28">
        <v>60.0</v>
      </c>
      <c r="G77" s="28">
        <v>60.0</v>
      </c>
      <c r="H77" s="28">
        <v>60.0</v>
      </c>
      <c r="I77" s="28">
        <v>60.0</v>
      </c>
      <c r="J77" s="28">
        <v>60.0</v>
      </c>
      <c r="K77" s="28">
        <v>60.0</v>
      </c>
      <c r="L77" s="28">
        <v>60.0</v>
      </c>
      <c r="M77" s="28">
        <v>60.0</v>
      </c>
      <c r="N77" s="28">
        <v>60.0</v>
      </c>
      <c r="O77" s="28">
        <v>60.0</v>
      </c>
      <c r="P77" s="7"/>
      <c r="Q77" s="29">
        <f t="shared" si="21"/>
        <v>820</v>
      </c>
      <c r="R77" s="7"/>
      <c r="S77" s="7"/>
      <c r="T77" s="7"/>
      <c r="U77" s="7"/>
      <c r="V77" s="7"/>
      <c r="W77" s="7"/>
      <c r="X77" s="7"/>
    </row>
    <row r="78" ht="19.5" customHeight="1">
      <c r="A78" s="7"/>
      <c r="B78" s="31" t="s">
        <v>72</v>
      </c>
      <c r="C78" s="27"/>
      <c r="D78" s="28">
        <v>750.0</v>
      </c>
      <c r="E78" s="29">
        <v>0.0</v>
      </c>
      <c r="F78" s="29">
        <v>0.0</v>
      </c>
      <c r="G78" s="28">
        <v>250.0</v>
      </c>
      <c r="H78" s="29">
        <v>0.0</v>
      </c>
      <c r="I78" s="29">
        <v>0.0</v>
      </c>
      <c r="J78" s="29">
        <v>0.0</v>
      </c>
      <c r="K78" s="28">
        <v>250.0</v>
      </c>
      <c r="L78" s="29">
        <v>0.0</v>
      </c>
      <c r="M78" s="29">
        <v>0.0</v>
      </c>
      <c r="N78" s="28">
        <v>250.0</v>
      </c>
      <c r="O78" s="28">
        <v>250.0</v>
      </c>
      <c r="P78" s="7"/>
      <c r="Q78" s="29">
        <f t="shared" si="21"/>
        <v>1750</v>
      </c>
      <c r="R78" s="7"/>
      <c r="S78" s="7"/>
      <c r="T78" s="7"/>
      <c r="U78" s="7"/>
      <c r="V78" s="7"/>
      <c r="W78" s="7"/>
      <c r="X78" s="7"/>
    </row>
    <row r="79" ht="19.5" customHeight="1">
      <c r="A79" s="7"/>
      <c r="B79" s="26" t="s">
        <v>73</v>
      </c>
      <c r="C79" s="27"/>
      <c r="D79" s="28">
        <v>250.0</v>
      </c>
      <c r="E79" s="28">
        <v>500.0</v>
      </c>
      <c r="F79" s="28">
        <v>500.0</v>
      </c>
      <c r="G79" s="28">
        <v>500.0</v>
      </c>
      <c r="H79" s="28">
        <v>500.0</v>
      </c>
      <c r="I79" s="28">
        <v>500.0</v>
      </c>
      <c r="J79" s="28">
        <v>500.0</v>
      </c>
      <c r="K79" s="28">
        <v>500.0</v>
      </c>
      <c r="L79" s="28">
        <v>500.0</v>
      </c>
      <c r="M79" s="28">
        <v>500.0</v>
      </c>
      <c r="N79" s="28">
        <v>500.0</v>
      </c>
      <c r="O79" s="28">
        <v>500.0</v>
      </c>
      <c r="P79" s="7"/>
      <c r="Q79" s="29">
        <f t="shared" si="21"/>
        <v>5750</v>
      </c>
      <c r="R79" s="7"/>
      <c r="S79" s="7"/>
      <c r="T79" s="7"/>
      <c r="U79" s="7"/>
      <c r="V79" s="7"/>
      <c r="W79" s="7"/>
      <c r="X79" s="7"/>
    </row>
    <row r="80" ht="19.5" customHeight="1">
      <c r="A80" s="7"/>
      <c r="B80" s="26" t="s">
        <v>74</v>
      </c>
      <c r="C80" s="27"/>
      <c r="D80" s="28">
        <v>50.0</v>
      </c>
      <c r="E80" s="28">
        <v>100.0</v>
      </c>
      <c r="F80" s="28">
        <v>100.0</v>
      </c>
      <c r="G80" s="28">
        <v>100.0</v>
      </c>
      <c r="H80" s="28">
        <v>100.0</v>
      </c>
      <c r="I80" s="28">
        <v>100.0</v>
      </c>
      <c r="J80" s="28">
        <v>100.0</v>
      </c>
      <c r="K80" s="28">
        <v>100.0</v>
      </c>
      <c r="L80" s="28">
        <v>100.0</v>
      </c>
      <c r="M80" s="28">
        <v>100.0</v>
      </c>
      <c r="N80" s="28">
        <v>100.0</v>
      </c>
      <c r="O80" s="28">
        <v>100.0</v>
      </c>
      <c r="P80" s="7"/>
      <c r="Q80" s="29">
        <f t="shared" si="21"/>
        <v>1150</v>
      </c>
      <c r="R80" s="7"/>
      <c r="S80" s="7"/>
      <c r="T80" s="7"/>
      <c r="U80" s="7"/>
      <c r="V80" s="7"/>
      <c r="W80" s="7"/>
      <c r="X80" s="7"/>
    </row>
    <row r="81" ht="19.5" customHeight="1">
      <c r="A81" s="7"/>
      <c r="B81" s="31" t="s">
        <v>29</v>
      </c>
      <c r="C81" s="27"/>
      <c r="D81" s="28">
        <f>25+25+400+75</f>
        <v>525</v>
      </c>
      <c r="E81" s="28">
        <v>500.0</v>
      </c>
      <c r="F81" s="28">
        <v>250.0</v>
      </c>
      <c r="G81" s="29">
        <v>0.0</v>
      </c>
      <c r="H81" s="29">
        <v>0.0</v>
      </c>
      <c r="I81" s="29">
        <v>0.0</v>
      </c>
      <c r="J81" s="29">
        <v>0.0</v>
      </c>
      <c r="K81" s="29">
        <v>0.0</v>
      </c>
      <c r="L81" s="29">
        <v>0.0</v>
      </c>
      <c r="M81" s="29">
        <v>0.0</v>
      </c>
      <c r="N81" s="29">
        <v>0.0</v>
      </c>
      <c r="O81" s="29">
        <v>0.0</v>
      </c>
      <c r="P81" s="7"/>
      <c r="Q81" s="29">
        <f t="shared" si="21"/>
        <v>1275</v>
      </c>
      <c r="R81" s="7"/>
      <c r="S81" s="7"/>
      <c r="T81" s="7"/>
      <c r="U81" s="7"/>
      <c r="V81" s="7"/>
      <c r="W81" s="7"/>
      <c r="X81" s="7"/>
    </row>
    <row r="82" ht="19.5" customHeight="1">
      <c r="A82" s="7"/>
      <c r="B82" s="16" t="s">
        <v>75</v>
      </c>
      <c r="C82" s="17"/>
      <c r="D82" s="18">
        <f t="shared" ref="D82:O82" si="22">SUM(D71:D81)</f>
        <v>2177.5</v>
      </c>
      <c r="E82" s="18">
        <f t="shared" si="22"/>
        <v>2007.5</v>
      </c>
      <c r="F82" s="18">
        <f t="shared" si="22"/>
        <v>1717.5</v>
      </c>
      <c r="G82" s="18">
        <f t="shared" si="22"/>
        <v>1547.5</v>
      </c>
      <c r="H82" s="18">
        <f t="shared" si="22"/>
        <v>922.5</v>
      </c>
      <c r="I82" s="18">
        <f t="shared" si="22"/>
        <v>922.5</v>
      </c>
      <c r="J82" s="18">
        <f t="shared" si="22"/>
        <v>922.5</v>
      </c>
      <c r="K82" s="18">
        <f t="shared" si="22"/>
        <v>1172.5</v>
      </c>
      <c r="L82" s="18">
        <f t="shared" si="22"/>
        <v>922.5</v>
      </c>
      <c r="M82" s="18">
        <f t="shared" si="22"/>
        <v>922.5</v>
      </c>
      <c r="N82" s="18">
        <f t="shared" si="22"/>
        <v>1172.5</v>
      </c>
      <c r="O82" s="18">
        <f t="shared" si="22"/>
        <v>1172.5</v>
      </c>
      <c r="P82" s="7"/>
      <c r="Q82" s="18">
        <f>SUM(Q71:Q81)</f>
        <v>15580</v>
      </c>
      <c r="R82" s="7"/>
      <c r="S82" s="7"/>
      <c r="T82" s="7"/>
      <c r="U82" s="7"/>
      <c r="V82" s="7"/>
      <c r="W82" s="7"/>
      <c r="X82" s="7"/>
    </row>
    <row r="83" ht="19.5" customHeight="1">
      <c r="A83" s="7"/>
      <c r="B83" s="44"/>
      <c r="C83" s="7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7"/>
      <c r="Q83" s="44"/>
      <c r="R83" s="7"/>
      <c r="S83" s="7"/>
      <c r="T83" s="7"/>
      <c r="U83" s="7"/>
      <c r="V83" s="7"/>
      <c r="W83" s="7"/>
      <c r="X83" s="7"/>
    </row>
    <row r="84" ht="19.5" customHeight="1">
      <c r="A84" s="7"/>
      <c r="B84" s="45" t="s">
        <v>76</v>
      </c>
      <c r="C84" s="25" t="s">
        <v>6</v>
      </c>
      <c r="D84" s="25" t="s">
        <v>7</v>
      </c>
      <c r="E84" s="25" t="s">
        <v>8</v>
      </c>
      <c r="F84" s="25" t="s">
        <v>9</v>
      </c>
      <c r="G84" s="25" t="s">
        <v>10</v>
      </c>
      <c r="H84" s="25" t="s">
        <v>11</v>
      </c>
      <c r="I84" s="25" t="s">
        <v>12</v>
      </c>
      <c r="J84" s="25" t="s">
        <v>13</v>
      </c>
      <c r="K84" s="25" t="s">
        <v>14</v>
      </c>
      <c r="L84" s="25" t="s">
        <v>15</v>
      </c>
      <c r="M84" s="25" t="s">
        <v>16</v>
      </c>
      <c r="N84" s="25" t="s">
        <v>17</v>
      </c>
      <c r="O84" s="25" t="s">
        <v>18</v>
      </c>
      <c r="P84" s="7"/>
      <c r="Q84" s="25" t="s">
        <v>19</v>
      </c>
      <c r="R84" s="7"/>
      <c r="S84" s="7"/>
      <c r="T84" s="7"/>
      <c r="U84" s="7"/>
      <c r="V84" s="7"/>
      <c r="W84" s="7"/>
      <c r="X84" s="7"/>
    </row>
    <row r="85" ht="19.5" customHeight="1">
      <c r="A85" s="7"/>
      <c r="B85" s="31" t="s">
        <v>77</v>
      </c>
      <c r="C85" s="27"/>
      <c r="D85" s="28">
        <v>200.0</v>
      </c>
      <c r="E85" s="28">
        <v>200.0</v>
      </c>
      <c r="F85" s="28">
        <v>100.0</v>
      </c>
      <c r="G85" s="28">
        <v>100.0</v>
      </c>
      <c r="H85" s="28">
        <v>100.0</v>
      </c>
      <c r="I85" s="28">
        <v>100.0</v>
      </c>
      <c r="J85" s="28">
        <v>100.0</v>
      </c>
      <c r="K85" s="28">
        <v>100.0</v>
      </c>
      <c r="L85" s="28">
        <v>100.0</v>
      </c>
      <c r="M85" s="28">
        <v>100.0</v>
      </c>
      <c r="N85" s="28">
        <v>100.0</v>
      </c>
      <c r="O85" s="28">
        <v>100.0</v>
      </c>
      <c r="P85" s="7"/>
      <c r="Q85" s="29">
        <f t="shared" ref="Q85:Q89" si="23">SUM(D85:O85)</f>
        <v>1400</v>
      </c>
      <c r="R85" s="7"/>
      <c r="S85" s="7"/>
      <c r="T85" s="7"/>
      <c r="U85" s="7"/>
      <c r="V85" s="7"/>
      <c r="W85" s="7"/>
      <c r="X85" s="7"/>
    </row>
    <row r="86" ht="19.5" customHeight="1">
      <c r="A86" s="7"/>
      <c r="B86" s="31" t="s">
        <v>78</v>
      </c>
      <c r="C86" s="27"/>
      <c r="D86" s="28">
        <v>0.0</v>
      </c>
      <c r="E86" s="28">
        <v>50.0</v>
      </c>
      <c r="F86" s="28">
        <v>50.0</v>
      </c>
      <c r="G86" s="28">
        <v>50.0</v>
      </c>
      <c r="H86" s="28">
        <v>50.0</v>
      </c>
      <c r="I86" s="28">
        <v>50.0</v>
      </c>
      <c r="J86" s="28">
        <v>50.0</v>
      </c>
      <c r="K86" s="28">
        <v>50.0</v>
      </c>
      <c r="L86" s="28">
        <v>50.0</v>
      </c>
      <c r="M86" s="28">
        <v>50.0</v>
      </c>
      <c r="N86" s="28">
        <v>50.0</v>
      </c>
      <c r="O86" s="28">
        <v>50.0</v>
      </c>
      <c r="P86" s="7"/>
      <c r="Q86" s="29">
        <f t="shared" si="23"/>
        <v>550</v>
      </c>
      <c r="R86" s="7"/>
      <c r="S86" s="7"/>
      <c r="T86" s="7"/>
      <c r="U86" s="7"/>
      <c r="V86" s="7"/>
      <c r="W86" s="7"/>
      <c r="X86" s="7"/>
    </row>
    <row r="87" ht="19.5" customHeight="1">
      <c r="A87" s="7"/>
      <c r="B87" s="31" t="s">
        <v>79</v>
      </c>
      <c r="C87" s="27"/>
      <c r="D87" s="28">
        <v>10.0</v>
      </c>
      <c r="E87" s="29">
        <v>0.0</v>
      </c>
      <c r="F87" s="29">
        <v>0.0</v>
      </c>
      <c r="G87" s="29">
        <v>0.0</v>
      </c>
      <c r="H87" s="29">
        <v>0.0</v>
      </c>
      <c r="I87" s="29">
        <v>0.0</v>
      </c>
      <c r="J87" s="29">
        <v>0.0</v>
      </c>
      <c r="K87" s="29">
        <v>0.0</v>
      </c>
      <c r="L87" s="29">
        <v>0.0</v>
      </c>
      <c r="M87" s="29">
        <v>0.0</v>
      </c>
      <c r="N87" s="29">
        <v>0.0</v>
      </c>
      <c r="O87" s="28">
        <v>50.0</v>
      </c>
      <c r="P87" s="7"/>
      <c r="Q87" s="29">
        <f t="shared" si="23"/>
        <v>60</v>
      </c>
      <c r="R87" s="7"/>
      <c r="S87" s="7"/>
      <c r="T87" s="7"/>
      <c r="U87" s="7"/>
      <c r="V87" s="7"/>
      <c r="W87" s="7"/>
      <c r="X87" s="7"/>
    </row>
    <row r="88" ht="19.5" customHeight="1">
      <c r="A88" s="7"/>
      <c r="B88" s="31" t="s">
        <v>80</v>
      </c>
      <c r="C88" s="27"/>
      <c r="D88" s="28">
        <v>50.0</v>
      </c>
      <c r="E88" s="28">
        <v>80.0</v>
      </c>
      <c r="F88" s="28">
        <v>80.0</v>
      </c>
      <c r="G88" s="28">
        <v>80.0</v>
      </c>
      <c r="H88" s="28">
        <v>80.0</v>
      </c>
      <c r="I88" s="28">
        <v>80.0</v>
      </c>
      <c r="J88" s="28">
        <v>80.0</v>
      </c>
      <c r="K88" s="28">
        <v>80.0</v>
      </c>
      <c r="L88" s="28">
        <v>80.0</v>
      </c>
      <c r="M88" s="28">
        <v>80.0</v>
      </c>
      <c r="N88" s="28">
        <v>80.0</v>
      </c>
      <c r="O88" s="28">
        <v>80.0</v>
      </c>
      <c r="P88" s="7"/>
      <c r="Q88" s="29">
        <f t="shared" si="23"/>
        <v>930</v>
      </c>
      <c r="R88" s="7"/>
      <c r="S88" s="7"/>
      <c r="T88" s="7"/>
      <c r="U88" s="7"/>
      <c r="V88" s="7"/>
      <c r="W88" s="7"/>
      <c r="X88" s="7"/>
    </row>
    <row r="89" ht="19.5" customHeight="1">
      <c r="A89" s="7"/>
      <c r="B89" s="31" t="s">
        <v>29</v>
      </c>
      <c r="C89" s="27"/>
      <c r="D89" s="28"/>
      <c r="E89" s="29">
        <v>0.0</v>
      </c>
      <c r="F89" s="29">
        <v>0.0</v>
      </c>
      <c r="G89" s="29">
        <v>0.0</v>
      </c>
      <c r="H89" s="29">
        <v>0.0</v>
      </c>
      <c r="I89" s="29">
        <v>0.0</v>
      </c>
      <c r="J89" s="29">
        <v>0.0</v>
      </c>
      <c r="K89" s="29">
        <v>0.0</v>
      </c>
      <c r="L89" s="29">
        <v>0.0</v>
      </c>
      <c r="M89" s="29">
        <v>0.0</v>
      </c>
      <c r="N89" s="29">
        <v>0.0</v>
      </c>
      <c r="O89" s="29">
        <v>0.0</v>
      </c>
      <c r="P89" s="7"/>
      <c r="Q89" s="29">
        <f t="shared" si="23"/>
        <v>0</v>
      </c>
      <c r="R89" s="7"/>
      <c r="S89" s="7"/>
      <c r="T89" s="7"/>
      <c r="U89" s="7"/>
      <c r="V89" s="7"/>
      <c r="W89" s="7"/>
      <c r="X89" s="7"/>
    </row>
    <row r="90" ht="19.5" customHeight="1">
      <c r="A90" s="7"/>
      <c r="B90" s="16" t="s">
        <v>81</v>
      </c>
      <c r="C90" s="17"/>
      <c r="D90" s="18">
        <f t="shared" ref="D90:O90" si="24">SUM(D85:D89)</f>
        <v>260</v>
      </c>
      <c r="E90" s="18">
        <f t="shared" si="24"/>
        <v>330</v>
      </c>
      <c r="F90" s="18">
        <f t="shared" si="24"/>
        <v>230</v>
      </c>
      <c r="G90" s="18">
        <f t="shared" si="24"/>
        <v>230</v>
      </c>
      <c r="H90" s="18">
        <f t="shared" si="24"/>
        <v>230</v>
      </c>
      <c r="I90" s="18">
        <f t="shared" si="24"/>
        <v>230</v>
      </c>
      <c r="J90" s="18">
        <f t="shared" si="24"/>
        <v>230</v>
      </c>
      <c r="K90" s="18">
        <f t="shared" si="24"/>
        <v>230</v>
      </c>
      <c r="L90" s="18">
        <f t="shared" si="24"/>
        <v>230</v>
      </c>
      <c r="M90" s="18">
        <f t="shared" si="24"/>
        <v>230</v>
      </c>
      <c r="N90" s="18">
        <f t="shared" si="24"/>
        <v>230</v>
      </c>
      <c r="O90" s="18">
        <f t="shared" si="24"/>
        <v>280</v>
      </c>
      <c r="P90" s="7"/>
      <c r="Q90" s="18">
        <f>SUM(Q85:Q89)</f>
        <v>2940</v>
      </c>
      <c r="R90" s="7"/>
      <c r="S90" s="7"/>
      <c r="T90" s="7"/>
      <c r="U90" s="7"/>
      <c r="V90" s="7"/>
      <c r="W90" s="7"/>
      <c r="X90" s="7"/>
    </row>
    <row r="91" ht="19.5" customHeight="1">
      <c r="A91" s="7"/>
      <c r="B91" s="44"/>
      <c r="C91" s="7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7"/>
      <c r="Q91" s="44"/>
      <c r="R91" s="7"/>
      <c r="S91" s="7"/>
      <c r="T91" s="7"/>
      <c r="U91" s="7"/>
      <c r="V91" s="7"/>
      <c r="W91" s="7"/>
      <c r="X91" s="7"/>
    </row>
    <row r="92" ht="31.5" customHeight="1">
      <c r="A92" s="7"/>
      <c r="B92" s="49" t="s">
        <v>82</v>
      </c>
      <c r="C92" s="25" t="s">
        <v>6</v>
      </c>
      <c r="D92" s="25" t="s">
        <v>7</v>
      </c>
      <c r="E92" s="25" t="s">
        <v>8</v>
      </c>
      <c r="F92" s="25" t="s">
        <v>9</v>
      </c>
      <c r="G92" s="25" t="s">
        <v>10</v>
      </c>
      <c r="H92" s="25" t="s">
        <v>11</v>
      </c>
      <c r="I92" s="25" t="s">
        <v>12</v>
      </c>
      <c r="J92" s="25" t="s">
        <v>13</v>
      </c>
      <c r="K92" s="25" t="s">
        <v>14</v>
      </c>
      <c r="L92" s="25" t="s">
        <v>15</v>
      </c>
      <c r="M92" s="25" t="s">
        <v>16</v>
      </c>
      <c r="N92" s="25" t="s">
        <v>17</v>
      </c>
      <c r="O92" s="25" t="s">
        <v>18</v>
      </c>
      <c r="P92" s="7"/>
      <c r="Q92" s="25" t="s">
        <v>19</v>
      </c>
      <c r="R92" s="7"/>
      <c r="S92" s="7"/>
      <c r="T92" s="7"/>
      <c r="U92" s="7"/>
      <c r="V92" s="7"/>
      <c r="W92" s="7"/>
      <c r="X92" s="7"/>
    </row>
    <row r="93" ht="19.5" customHeight="1">
      <c r="A93" s="36">
        <v>0.24</v>
      </c>
      <c r="B93" s="26" t="s">
        <v>83</v>
      </c>
      <c r="C93" s="27"/>
      <c r="D93" s="29">
        <f>1143+745+1143</f>
        <v>3031</v>
      </c>
      <c r="E93" s="29">
        <f t="shared" ref="E93:O93" si="25">sum(E14,E15)*$A$93</f>
        <v>2599.9992</v>
      </c>
      <c r="F93" s="29">
        <f t="shared" si="25"/>
        <v>2599.9992</v>
      </c>
      <c r="G93" s="29">
        <f t="shared" si="25"/>
        <v>3079.9992</v>
      </c>
      <c r="H93" s="29">
        <f t="shared" si="25"/>
        <v>2599.9992</v>
      </c>
      <c r="I93" s="29">
        <f t="shared" si="25"/>
        <v>2599.9992</v>
      </c>
      <c r="J93" s="29">
        <f t="shared" si="25"/>
        <v>2599.9992</v>
      </c>
      <c r="K93" s="29">
        <f t="shared" si="25"/>
        <v>2599.9992</v>
      </c>
      <c r="L93" s="29">
        <f t="shared" si="25"/>
        <v>2599.9992</v>
      </c>
      <c r="M93" s="29">
        <f t="shared" si="25"/>
        <v>2599.9992</v>
      </c>
      <c r="N93" s="29">
        <f t="shared" si="25"/>
        <v>2599.9992</v>
      </c>
      <c r="O93" s="29">
        <f t="shared" si="25"/>
        <v>3319.9992</v>
      </c>
      <c r="P93" s="7"/>
      <c r="Q93" s="29">
        <f t="shared" ref="Q93:Q94" si="26">SUM(D93:O93)</f>
        <v>32830.9912</v>
      </c>
      <c r="R93" s="7"/>
      <c r="S93" s="7"/>
      <c r="T93" s="7"/>
      <c r="U93" s="7"/>
      <c r="V93" s="7"/>
      <c r="W93" s="7"/>
      <c r="X93" s="7"/>
    </row>
    <row r="94" ht="19.5" customHeight="1">
      <c r="A94" s="7"/>
      <c r="B94" s="31" t="s">
        <v>29</v>
      </c>
      <c r="C94" s="27"/>
      <c r="D94" s="29">
        <v>0.0</v>
      </c>
      <c r="E94" s="29">
        <v>0.0</v>
      </c>
      <c r="F94" s="29">
        <v>0.0</v>
      </c>
      <c r="G94" s="29">
        <v>0.0</v>
      </c>
      <c r="H94" s="29">
        <v>0.0</v>
      </c>
      <c r="I94" s="29">
        <v>0.0</v>
      </c>
      <c r="J94" s="29">
        <v>0.0</v>
      </c>
      <c r="K94" s="29">
        <v>0.0</v>
      </c>
      <c r="L94" s="29">
        <v>0.0</v>
      </c>
      <c r="M94" s="29">
        <v>0.0</v>
      </c>
      <c r="N94" s="29">
        <v>0.0</v>
      </c>
      <c r="O94" s="29">
        <v>0.0</v>
      </c>
      <c r="P94" s="7"/>
      <c r="Q94" s="29">
        <f t="shared" si="26"/>
        <v>0</v>
      </c>
      <c r="R94" s="7"/>
      <c r="S94" s="7"/>
      <c r="T94" s="7"/>
      <c r="U94" s="7"/>
      <c r="V94" s="7"/>
      <c r="W94" s="7"/>
      <c r="X94" s="7"/>
    </row>
    <row r="95" ht="19.5" customHeight="1">
      <c r="A95" s="7"/>
      <c r="B95" s="16" t="s">
        <v>84</v>
      </c>
      <c r="C95" s="17"/>
      <c r="D95" s="18">
        <f t="shared" ref="D95:O95" si="27">SUM(D93:D94)</f>
        <v>3031</v>
      </c>
      <c r="E95" s="18">
        <f t="shared" si="27"/>
        <v>2599.9992</v>
      </c>
      <c r="F95" s="18">
        <f t="shared" si="27"/>
        <v>2599.9992</v>
      </c>
      <c r="G95" s="18">
        <f t="shared" si="27"/>
        <v>3079.9992</v>
      </c>
      <c r="H95" s="18">
        <f t="shared" si="27"/>
        <v>2599.9992</v>
      </c>
      <c r="I95" s="18">
        <f t="shared" si="27"/>
        <v>2599.9992</v>
      </c>
      <c r="J95" s="18">
        <f t="shared" si="27"/>
        <v>2599.9992</v>
      </c>
      <c r="K95" s="18">
        <f t="shared" si="27"/>
        <v>2599.9992</v>
      </c>
      <c r="L95" s="18">
        <f t="shared" si="27"/>
        <v>2599.9992</v>
      </c>
      <c r="M95" s="18">
        <f t="shared" si="27"/>
        <v>2599.9992</v>
      </c>
      <c r="N95" s="18">
        <f t="shared" si="27"/>
        <v>2599.9992</v>
      </c>
      <c r="O95" s="18">
        <f t="shared" si="27"/>
        <v>3319.9992</v>
      </c>
      <c r="P95" s="7"/>
      <c r="Q95" s="18">
        <f>SUM(Q93:Q94)</f>
        <v>32830.9912</v>
      </c>
      <c r="R95" s="7"/>
      <c r="S95" s="7"/>
      <c r="T95" s="7"/>
      <c r="U95" s="7"/>
      <c r="V95" s="7"/>
      <c r="W95" s="7"/>
      <c r="X95" s="7"/>
    </row>
    <row r="96" ht="19.5" customHeight="1">
      <c r="A96" s="7"/>
      <c r="B96" s="44"/>
      <c r="C96" s="7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7"/>
      <c r="Q96" s="44"/>
      <c r="R96" s="7"/>
      <c r="S96" s="7"/>
      <c r="T96" s="7"/>
      <c r="U96" s="7"/>
      <c r="V96" s="7"/>
      <c r="W96" s="7"/>
      <c r="X96" s="7"/>
    </row>
    <row r="97" ht="19.5" customHeight="1">
      <c r="A97" s="7"/>
      <c r="B97" s="16" t="s">
        <v>21</v>
      </c>
      <c r="C97" s="17"/>
      <c r="D97" s="18">
        <f t="shared" ref="D97:O97" si="28">SUM(D52,D60,D68,D82,D90,D95)</f>
        <v>7848.5</v>
      </c>
      <c r="E97" s="18">
        <f t="shared" si="28"/>
        <v>7317.4992</v>
      </c>
      <c r="F97" s="18">
        <f t="shared" si="28"/>
        <v>8527.4992</v>
      </c>
      <c r="G97" s="18">
        <f t="shared" si="28"/>
        <v>13937.4992</v>
      </c>
      <c r="H97" s="18">
        <f t="shared" si="28"/>
        <v>5532.4992</v>
      </c>
      <c r="I97" s="18">
        <f t="shared" si="28"/>
        <v>5532.4992</v>
      </c>
      <c r="J97" s="18">
        <f t="shared" si="28"/>
        <v>5532.4992</v>
      </c>
      <c r="K97" s="18">
        <f t="shared" si="28"/>
        <v>11037.4992</v>
      </c>
      <c r="L97" s="18">
        <f t="shared" si="28"/>
        <v>6687.4992</v>
      </c>
      <c r="M97" s="18">
        <f t="shared" si="28"/>
        <v>6687.4992</v>
      </c>
      <c r="N97" s="18">
        <f t="shared" si="28"/>
        <v>6937.4992</v>
      </c>
      <c r="O97" s="18">
        <f t="shared" si="28"/>
        <v>7707.4992</v>
      </c>
      <c r="P97" s="7"/>
      <c r="Q97" s="18">
        <f>SUM(Q52,Q60,Q68,Q82,Q90,Q95)</f>
        <v>93285.9912</v>
      </c>
      <c r="R97" s="7"/>
      <c r="S97" s="7"/>
      <c r="T97" s="7"/>
      <c r="U97" s="7"/>
      <c r="V97" s="7"/>
      <c r="W97" s="7"/>
      <c r="X97" s="7"/>
    </row>
    <row r="98" ht="19.5" customHeight="1">
      <c r="A98" s="7"/>
      <c r="B98" s="50"/>
      <c r="C98" s="7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7"/>
      <c r="Q98" s="42"/>
      <c r="R98" s="7"/>
      <c r="S98" s="7"/>
      <c r="T98" s="7"/>
      <c r="U98" s="7"/>
      <c r="V98" s="7"/>
      <c r="W98" s="7"/>
      <c r="X98" s="7"/>
    </row>
    <row r="99" ht="49.5" customHeight="1">
      <c r="A99" s="43"/>
      <c r="B99" s="51" t="s">
        <v>85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3"/>
      <c r="R99" s="43"/>
      <c r="S99" s="43"/>
      <c r="T99" s="43"/>
      <c r="U99" s="43"/>
      <c r="V99" s="43"/>
      <c r="W99" s="43"/>
      <c r="X99" s="43"/>
      <c r="Y99" s="43"/>
      <c r="Z99" s="43"/>
    </row>
    <row r="100" ht="15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5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5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30.0" customHeight="1">
      <c r="A103" s="54"/>
      <c r="B103" s="55" t="s">
        <v>86</v>
      </c>
      <c r="C103" s="56" t="s">
        <v>87</v>
      </c>
      <c r="D103" s="57" t="s">
        <v>7</v>
      </c>
      <c r="E103" s="57" t="s">
        <v>8</v>
      </c>
      <c r="F103" s="57" t="s">
        <v>9</v>
      </c>
      <c r="G103" s="57" t="s">
        <v>10</v>
      </c>
      <c r="H103" s="57" t="s">
        <v>11</v>
      </c>
      <c r="I103" s="57" t="s">
        <v>12</v>
      </c>
      <c r="J103" s="57" t="s">
        <v>13</v>
      </c>
      <c r="K103" s="57" t="s">
        <v>14</v>
      </c>
      <c r="L103" s="57" t="s">
        <v>15</v>
      </c>
      <c r="M103" s="57" t="s">
        <v>16</v>
      </c>
      <c r="N103" s="57" t="s">
        <v>17</v>
      </c>
      <c r="O103" s="57" t="s">
        <v>18</v>
      </c>
      <c r="P103" s="58"/>
      <c r="Q103" s="59" t="s">
        <v>88</v>
      </c>
      <c r="R103" s="54"/>
      <c r="S103" s="54"/>
      <c r="T103" s="54"/>
      <c r="U103" s="54"/>
      <c r="V103" s="54"/>
      <c r="W103" s="54"/>
      <c r="X103" s="54"/>
      <c r="Y103" s="60"/>
      <c r="Z103" s="60"/>
    </row>
    <row r="104" ht="19.5" customHeight="1">
      <c r="A104" s="7"/>
      <c r="B104" s="61" t="s">
        <v>89</v>
      </c>
      <c r="C104" s="62">
        <v>57000.0</v>
      </c>
      <c r="D104" s="63">
        <f>C104-D63-D67</f>
        <v>55655</v>
      </c>
      <c r="E104" s="63">
        <f t="shared" ref="E104:O104" si="29">D104-E63</f>
        <v>54310</v>
      </c>
      <c r="F104" s="63">
        <f t="shared" si="29"/>
        <v>52965</v>
      </c>
      <c r="G104" s="63">
        <f t="shared" si="29"/>
        <v>51620</v>
      </c>
      <c r="H104" s="63">
        <f t="shared" si="29"/>
        <v>50275</v>
      </c>
      <c r="I104" s="63">
        <f t="shared" si="29"/>
        <v>48930</v>
      </c>
      <c r="J104" s="63">
        <f t="shared" si="29"/>
        <v>47585</v>
      </c>
      <c r="K104" s="63">
        <f t="shared" si="29"/>
        <v>40985</v>
      </c>
      <c r="L104" s="63">
        <f t="shared" si="29"/>
        <v>38485</v>
      </c>
      <c r="M104" s="63">
        <f t="shared" si="29"/>
        <v>35985</v>
      </c>
      <c r="N104" s="63">
        <f t="shared" si="29"/>
        <v>33485</v>
      </c>
      <c r="O104" s="63">
        <f t="shared" si="29"/>
        <v>30985</v>
      </c>
      <c r="P104" s="64"/>
      <c r="Q104" s="65">
        <f t="shared" ref="Q104:Q105" si="31">Q63</f>
        <v>26015</v>
      </c>
      <c r="R104" s="66"/>
      <c r="S104" s="7"/>
      <c r="T104" s="7"/>
      <c r="U104" s="7"/>
      <c r="V104" s="7"/>
      <c r="W104" s="7"/>
      <c r="X104" s="7"/>
    </row>
    <row r="105" ht="19.5" customHeight="1">
      <c r="A105" s="7"/>
      <c r="B105" s="26" t="s">
        <v>61</v>
      </c>
      <c r="C105" s="62">
        <v>8500.0</v>
      </c>
      <c r="D105" s="63">
        <f t="shared" ref="D105:O105" si="30">C105-D65</f>
        <v>8100</v>
      </c>
      <c r="E105" s="63">
        <f t="shared" si="30"/>
        <v>7700</v>
      </c>
      <c r="F105" s="63">
        <f t="shared" si="30"/>
        <v>7300</v>
      </c>
      <c r="G105" s="63">
        <f t="shared" si="30"/>
        <v>0</v>
      </c>
      <c r="H105" s="63">
        <f t="shared" si="30"/>
        <v>0</v>
      </c>
      <c r="I105" s="63">
        <f t="shared" si="30"/>
        <v>0</v>
      </c>
      <c r="J105" s="63">
        <f t="shared" si="30"/>
        <v>0</v>
      </c>
      <c r="K105" s="63">
        <f t="shared" si="30"/>
        <v>0</v>
      </c>
      <c r="L105" s="63">
        <f t="shared" si="30"/>
        <v>0</v>
      </c>
      <c r="M105" s="63">
        <f t="shared" si="30"/>
        <v>0</v>
      </c>
      <c r="N105" s="63">
        <f t="shared" si="30"/>
        <v>0</v>
      </c>
      <c r="O105" s="63">
        <f t="shared" si="30"/>
        <v>0</v>
      </c>
      <c r="P105" s="64"/>
      <c r="Q105" s="65">
        <f t="shared" si="31"/>
        <v>5220</v>
      </c>
      <c r="R105" s="66"/>
      <c r="S105" s="7"/>
      <c r="T105" s="7"/>
      <c r="U105" s="7"/>
      <c r="V105" s="7"/>
      <c r="W105" s="7"/>
      <c r="X105" s="7"/>
    </row>
    <row r="106" ht="19.5" customHeight="1">
      <c r="A106" s="7"/>
      <c r="B106" s="26" t="s">
        <v>62</v>
      </c>
      <c r="C106" s="62">
        <v>2200.0</v>
      </c>
      <c r="D106" s="63">
        <f t="shared" ref="D106:O106" si="32">C106-D66</f>
        <v>2000</v>
      </c>
      <c r="E106" s="63">
        <f t="shared" si="32"/>
        <v>1800</v>
      </c>
      <c r="F106" s="63">
        <f t="shared" si="32"/>
        <v>0</v>
      </c>
      <c r="G106" s="63">
        <f t="shared" si="32"/>
        <v>0</v>
      </c>
      <c r="H106" s="63">
        <f t="shared" si="32"/>
        <v>0</v>
      </c>
      <c r="I106" s="63">
        <f t="shared" si="32"/>
        <v>0</v>
      </c>
      <c r="J106" s="63">
        <f t="shared" si="32"/>
        <v>0</v>
      </c>
      <c r="K106" s="63">
        <f t="shared" si="32"/>
        <v>0</v>
      </c>
      <c r="L106" s="63">
        <f t="shared" si="32"/>
        <v>0</v>
      </c>
      <c r="M106" s="63">
        <f t="shared" si="32"/>
        <v>0</v>
      </c>
      <c r="N106" s="63">
        <f t="shared" si="32"/>
        <v>0</v>
      </c>
      <c r="O106" s="63">
        <f t="shared" si="32"/>
        <v>0</v>
      </c>
      <c r="P106" s="64"/>
      <c r="Q106" s="65">
        <f>Q66</f>
        <v>2200</v>
      </c>
      <c r="R106" s="66"/>
      <c r="S106" s="7"/>
      <c r="T106" s="7"/>
      <c r="U106" s="7"/>
      <c r="V106" s="7"/>
      <c r="W106" s="7"/>
      <c r="X106" s="7"/>
    </row>
    <row r="107" ht="19.5" customHeight="1">
      <c r="A107" s="7"/>
      <c r="B107" s="67"/>
      <c r="C107" s="68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70"/>
      <c r="Q107" s="71"/>
      <c r="R107" s="7"/>
      <c r="S107" s="7"/>
      <c r="T107" s="7"/>
      <c r="U107" s="7"/>
      <c r="V107" s="7"/>
      <c r="W107" s="7"/>
      <c r="X107" s="7"/>
    </row>
    <row r="108" ht="19.5" customHeight="1">
      <c r="A108" s="7"/>
      <c r="B108" s="72" t="s">
        <v>90</v>
      </c>
      <c r="C108" s="73">
        <f t="shared" ref="C108:O108" si="33">sum(C104:C106)</f>
        <v>67700</v>
      </c>
      <c r="D108" s="73">
        <f t="shared" si="33"/>
        <v>65755</v>
      </c>
      <c r="E108" s="73">
        <f t="shared" si="33"/>
        <v>63810</v>
      </c>
      <c r="F108" s="73">
        <f t="shared" si="33"/>
        <v>60265</v>
      </c>
      <c r="G108" s="73">
        <f t="shared" si="33"/>
        <v>51620</v>
      </c>
      <c r="H108" s="73">
        <f t="shared" si="33"/>
        <v>50275</v>
      </c>
      <c r="I108" s="73">
        <f t="shared" si="33"/>
        <v>48930</v>
      </c>
      <c r="J108" s="73">
        <f t="shared" si="33"/>
        <v>47585</v>
      </c>
      <c r="K108" s="73">
        <f t="shared" si="33"/>
        <v>40985</v>
      </c>
      <c r="L108" s="73">
        <f t="shared" si="33"/>
        <v>38485</v>
      </c>
      <c r="M108" s="73">
        <f t="shared" si="33"/>
        <v>35985</v>
      </c>
      <c r="N108" s="73">
        <f t="shared" si="33"/>
        <v>33485</v>
      </c>
      <c r="O108" s="73">
        <f t="shared" si="33"/>
        <v>30985</v>
      </c>
      <c r="P108" s="74"/>
      <c r="Q108" s="75">
        <f>SUM(Q104:Q106)</f>
        <v>33435</v>
      </c>
      <c r="R108" s="66"/>
      <c r="S108" s="7"/>
      <c r="T108" s="7"/>
      <c r="U108" s="7"/>
      <c r="V108" s="7"/>
      <c r="W108" s="7"/>
      <c r="X108" s="7"/>
    </row>
    <row r="109" ht="19.5" customHeight="1">
      <c r="A109" s="7"/>
      <c r="B109" s="76"/>
      <c r="C109" s="68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7"/>
      <c r="Q109" s="71"/>
      <c r="R109" s="7"/>
      <c r="S109" s="7"/>
      <c r="T109" s="7"/>
      <c r="U109" s="7"/>
      <c r="V109" s="7"/>
      <c r="W109" s="7"/>
      <c r="X109" s="7"/>
    </row>
    <row r="110" ht="19.5" customHeight="1">
      <c r="A110" s="78">
        <v>6700.0</v>
      </c>
      <c r="B110" s="79" t="s">
        <v>112</v>
      </c>
      <c r="C110" s="73">
        <f t="shared" ref="C110:O110" si="34">C108-$A$110</f>
        <v>61000</v>
      </c>
      <c r="D110" s="73">
        <f t="shared" si="34"/>
        <v>59055</v>
      </c>
      <c r="E110" s="73">
        <f t="shared" si="34"/>
        <v>57110</v>
      </c>
      <c r="F110" s="73">
        <f t="shared" si="34"/>
        <v>53565</v>
      </c>
      <c r="G110" s="73">
        <f t="shared" si="34"/>
        <v>44920</v>
      </c>
      <c r="H110" s="73">
        <f t="shared" si="34"/>
        <v>43575</v>
      </c>
      <c r="I110" s="73">
        <f t="shared" si="34"/>
        <v>42230</v>
      </c>
      <c r="J110" s="73">
        <f t="shared" si="34"/>
        <v>40885</v>
      </c>
      <c r="K110" s="73">
        <f t="shared" si="34"/>
        <v>34285</v>
      </c>
      <c r="L110" s="73">
        <f t="shared" si="34"/>
        <v>31785</v>
      </c>
      <c r="M110" s="73">
        <f t="shared" si="34"/>
        <v>29285</v>
      </c>
      <c r="N110" s="73">
        <f t="shared" si="34"/>
        <v>26785</v>
      </c>
      <c r="O110" s="73">
        <f t="shared" si="34"/>
        <v>24285</v>
      </c>
      <c r="P110" s="74"/>
      <c r="Q110" s="75">
        <f>SUM(Q104:Q106)</f>
        <v>33435</v>
      </c>
      <c r="R110" s="66"/>
      <c r="S110" s="7"/>
      <c r="T110" s="7"/>
      <c r="U110" s="7"/>
      <c r="V110" s="7"/>
      <c r="W110" s="7"/>
      <c r="X110" s="7"/>
    </row>
    <row r="111" ht="19.5" customHeight="1">
      <c r="A111" s="7"/>
      <c r="B111" s="7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1"/>
      <c r="R111" s="7"/>
      <c r="S111" s="7"/>
      <c r="T111" s="7"/>
      <c r="U111" s="7"/>
      <c r="V111" s="7"/>
      <c r="W111" s="7"/>
      <c r="X111" s="7"/>
    </row>
    <row r="112" ht="30.0" customHeight="1">
      <c r="A112" s="54"/>
      <c r="B112" s="55" t="s">
        <v>92</v>
      </c>
      <c r="C112" s="56" t="s">
        <v>87</v>
      </c>
      <c r="D112" s="57" t="s">
        <v>7</v>
      </c>
      <c r="E112" s="57" t="s">
        <v>8</v>
      </c>
      <c r="F112" s="57" t="s">
        <v>9</v>
      </c>
      <c r="G112" s="57" t="s">
        <v>10</v>
      </c>
      <c r="H112" s="57" t="s">
        <v>11</v>
      </c>
      <c r="I112" s="57" t="s">
        <v>12</v>
      </c>
      <c r="J112" s="57" t="s">
        <v>13</v>
      </c>
      <c r="K112" s="57" t="s">
        <v>14</v>
      </c>
      <c r="L112" s="57" t="s">
        <v>15</v>
      </c>
      <c r="M112" s="57" t="s">
        <v>16</v>
      </c>
      <c r="N112" s="57" t="s">
        <v>17</v>
      </c>
      <c r="O112" s="57" t="s">
        <v>18</v>
      </c>
      <c r="P112" s="58"/>
      <c r="Q112" s="59" t="s">
        <v>93</v>
      </c>
      <c r="R112" s="54"/>
      <c r="S112" s="54"/>
      <c r="T112" s="54"/>
      <c r="U112" s="54"/>
      <c r="V112" s="54"/>
      <c r="W112" s="54"/>
      <c r="X112" s="54"/>
      <c r="Y112" s="60"/>
      <c r="Z112" s="60"/>
    </row>
    <row r="113" ht="19.5" customHeight="1">
      <c r="A113" s="7"/>
      <c r="B113" s="61" t="s">
        <v>113</v>
      </c>
      <c r="C113" s="62">
        <v>15000.0</v>
      </c>
      <c r="D113" s="82">
        <v>15000.0</v>
      </c>
      <c r="E113" s="82">
        <v>15000.0</v>
      </c>
      <c r="F113" s="82">
        <v>15000.0</v>
      </c>
      <c r="G113" s="82">
        <v>20000.0</v>
      </c>
      <c r="H113" s="82">
        <v>20000.0</v>
      </c>
      <c r="I113" s="82">
        <v>20000.0</v>
      </c>
      <c r="J113" s="82">
        <v>20000.0</v>
      </c>
      <c r="K113" s="82">
        <v>20000.0</v>
      </c>
      <c r="L113" s="82">
        <v>20000.0</v>
      </c>
      <c r="M113" s="82">
        <v>20000.0</v>
      </c>
      <c r="N113" s="82">
        <v>20000.0</v>
      </c>
      <c r="O113" s="82">
        <v>20000.0</v>
      </c>
      <c r="P113" s="83"/>
      <c r="Q113" s="84">
        <f t="shared" ref="Q113:Q120" si="35">O113-C113</f>
        <v>5000</v>
      </c>
      <c r="R113" s="66"/>
      <c r="S113" s="7"/>
      <c r="T113" s="7"/>
      <c r="U113" s="7"/>
      <c r="V113" s="7"/>
      <c r="W113" s="7"/>
      <c r="X113" s="7"/>
    </row>
    <row r="114" ht="19.5" customHeight="1">
      <c r="A114" s="7"/>
      <c r="B114" s="61" t="s">
        <v>114</v>
      </c>
      <c r="C114" s="62">
        <v>15000.0</v>
      </c>
      <c r="D114" s="82">
        <v>15000.0</v>
      </c>
      <c r="E114" s="82">
        <v>15000.0</v>
      </c>
      <c r="F114" s="82">
        <v>15000.0</v>
      </c>
      <c r="G114" s="82">
        <v>20000.0</v>
      </c>
      <c r="H114" s="82">
        <v>20000.0</v>
      </c>
      <c r="I114" s="82">
        <v>20000.0</v>
      </c>
      <c r="J114" s="82">
        <v>20000.0</v>
      </c>
      <c r="K114" s="82">
        <v>20000.0</v>
      </c>
      <c r="L114" s="82">
        <v>20000.0</v>
      </c>
      <c r="M114" s="82">
        <v>20000.0</v>
      </c>
      <c r="N114" s="82">
        <v>20000.0</v>
      </c>
      <c r="O114" s="82">
        <v>20000.0</v>
      </c>
      <c r="P114" s="83"/>
      <c r="Q114" s="84">
        <f t="shared" si="35"/>
        <v>5000</v>
      </c>
      <c r="R114" s="66"/>
      <c r="S114" s="7"/>
      <c r="T114" s="7"/>
      <c r="U114" s="7"/>
      <c r="V114" s="7"/>
      <c r="W114" s="7"/>
      <c r="X114" s="7"/>
    </row>
    <row r="115" ht="19.5" customHeight="1">
      <c r="A115" s="7"/>
      <c r="B115" s="85" t="s">
        <v>96</v>
      </c>
      <c r="C115" s="62">
        <v>6000.0</v>
      </c>
      <c r="D115" s="86">
        <v>6600.0</v>
      </c>
      <c r="E115" s="86">
        <v>6600.0</v>
      </c>
      <c r="F115" s="86">
        <v>6600.0</v>
      </c>
      <c r="G115" s="86">
        <v>0.0</v>
      </c>
      <c r="H115" s="86">
        <v>0.0</v>
      </c>
      <c r="I115" s="86">
        <v>0.0</v>
      </c>
      <c r="J115" s="86">
        <v>0.0</v>
      </c>
      <c r="K115" s="86">
        <v>0.0</v>
      </c>
      <c r="L115" s="86">
        <v>0.0</v>
      </c>
      <c r="M115" s="86">
        <v>0.0</v>
      </c>
      <c r="N115" s="86">
        <v>0.0</v>
      </c>
      <c r="O115" s="86">
        <v>0.0</v>
      </c>
      <c r="P115" s="83"/>
      <c r="Q115" s="84">
        <f t="shared" si="35"/>
        <v>-6000</v>
      </c>
      <c r="R115" s="66"/>
      <c r="S115" s="7"/>
      <c r="T115" s="7"/>
      <c r="U115" s="7"/>
      <c r="V115" s="7"/>
      <c r="W115" s="7"/>
      <c r="X115" s="7"/>
    </row>
    <row r="116" ht="19.5" customHeight="1">
      <c r="A116" s="7"/>
      <c r="B116" s="85" t="s">
        <v>97</v>
      </c>
      <c r="C116" s="62">
        <v>1600.0</v>
      </c>
      <c r="D116" s="82">
        <f t="shared" ref="D116:O116" si="36">C116+D11</f>
        <v>327.5</v>
      </c>
      <c r="E116" s="82">
        <f t="shared" si="36"/>
        <v>864.16505</v>
      </c>
      <c r="F116" s="82">
        <f t="shared" si="36"/>
        <v>190.8301</v>
      </c>
      <c r="G116" s="82">
        <f t="shared" si="36"/>
        <v>5107.49515</v>
      </c>
      <c r="H116" s="82">
        <f t="shared" si="36"/>
        <v>7429.1602</v>
      </c>
      <c r="I116" s="82">
        <f t="shared" si="36"/>
        <v>9750.82525</v>
      </c>
      <c r="J116" s="82">
        <f t="shared" si="36"/>
        <v>12072.4903</v>
      </c>
      <c r="K116" s="82">
        <f t="shared" si="36"/>
        <v>8889.15535</v>
      </c>
      <c r="L116" s="82">
        <f t="shared" si="36"/>
        <v>10055.8204</v>
      </c>
      <c r="M116" s="82">
        <f t="shared" si="36"/>
        <v>11222.48545</v>
      </c>
      <c r="N116" s="82">
        <f t="shared" si="36"/>
        <v>12139.1505</v>
      </c>
      <c r="O116" s="82">
        <f t="shared" si="36"/>
        <v>14760.81555</v>
      </c>
      <c r="P116" s="83"/>
      <c r="Q116" s="84">
        <f t="shared" si="35"/>
        <v>13160.81555</v>
      </c>
      <c r="R116" s="66"/>
      <c r="S116" s="7"/>
      <c r="T116" s="7"/>
      <c r="U116" s="7"/>
      <c r="V116" s="7"/>
      <c r="W116" s="7"/>
      <c r="X116" s="7"/>
    </row>
    <row r="117" ht="19.5" customHeight="1">
      <c r="A117" s="7"/>
      <c r="B117" s="85" t="s">
        <v>98</v>
      </c>
      <c r="C117" s="62">
        <v>1800.0</v>
      </c>
      <c r="D117" s="82">
        <v>2600.0</v>
      </c>
      <c r="E117" s="82">
        <v>1000.0</v>
      </c>
      <c r="F117" s="82">
        <v>0.0</v>
      </c>
      <c r="G117" s="82">
        <v>0.0</v>
      </c>
      <c r="H117" s="82">
        <v>0.0</v>
      </c>
      <c r="I117" s="82">
        <v>0.0</v>
      </c>
      <c r="J117" s="82">
        <v>0.0</v>
      </c>
      <c r="K117" s="82">
        <v>0.0</v>
      </c>
      <c r="L117" s="100">
        <v>0.0</v>
      </c>
      <c r="M117" s="100">
        <v>0.0</v>
      </c>
      <c r="N117" s="100">
        <v>0.0</v>
      </c>
      <c r="O117" s="100">
        <v>0.0</v>
      </c>
      <c r="P117" s="83"/>
      <c r="Q117" s="84">
        <f t="shared" si="35"/>
        <v>-1800</v>
      </c>
      <c r="R117" s="66"/>
      <c r="S117" s="7"/>
      <c r="T117" s="7"/>
      <c r="U117" s="7"/>
      <c r="V117" s="7"/>
      <c r="W117" s="7"/>
      <c r="X117" s="7"/>
    </row>
    <row r="118" ht="19.5" customHeight="1">
      <c r="A118" s="7"/>
      <c r="B118" s="85" t="s">
        <v>99</v>
      </c>
      <c r="C118" s="62">
        <v>12000.0</v>
      </c>
      <c r="D118" s="82">
        <v>12100.0</v>
      </c>
      <c r="E118" s="82">
        <f>D118+E34</f>
        <v>13183.333</v>
      </c>
      <c r="F118" s="82">
        <v>10000.0</v>
      </c>
      <c r="G118" s="82">
        <f t="shared" ref="G118:O118" si="37">F118+G34</f>
        <v>11083.333</v>
      </c>
      <c r="H118" s="82">
        <f t="shared" si="37"/>
        <v>12166.666</v>
      </c>
      <c r="I118" s="82">
        <f t="shared" si="37"/>
        <v>13249.999</v>
      </c>
      <c r="J118" s="82">
        <f t="shared" si="37"/>
        <v>14333.332</v>
      </c>
      <c r="K118" s="82">
        <f t="shared" si="37"/>
        <v>15416.665</v>
      </c>
      <c r="L118" s="82">
        <f t="shared" si="37"/>
        <v>16499.998</v>
      </c>
      <c r="M118" s="82">
        <f t="shared" si="37"/>
        <v>17583.331</v>
      </c>
      <c r="N118" s="82">
        <f t="shared" si="37"/>
        <v>18666.664</v>
      </c>
      <c r="O118" s="82">
        <f t="shared" si="37"/>
        <v>19749.997</v>
      </c>
      <c r="P118" s="83"/>
      <c r="Q118" s="84">
        <f t="shared" si="35"/>
        <v>7749.997</v>
      </c>
      <c r="R118" s="66"/>
      <c r="S118" s="7"/>
      <c r="T118" s="7"/>
      <c r="U118" s="7"/>
      <c r="V118" s="7"/>
      <c r="W118" s="7"/>
      <c r="X118" s="7"/>
    </row>
    <row r="119" ht="19.5" customHeight="1">
      <c r="A119" s="7"/>
      <c r="B119" s="85" t="s">
        <v>100</v>
      </c>
      <c r="C119" s="62">
        <v>9000.0</v>
      </c>
      <c r="D119" s="82">
        <v>9750.0</v>
      </c>
      <c r="E119" s="82">
        <f>D119+E33+($D$14*0.04)</f>
        <v>12045.83275</v>
      </c>
      <c r="F119" s="82">
        <v>9200.0</v>
      </c>
      <c r="G119" s="82">
        <f t="shared" ref="G119:O119" si="38">F119+G33+($D$14*0.04)</f>
        <v>11495.83275</v>
      </c>
      <c r="H119" s="82">
        <f t="shared" si="38"/>
        <v>13791.6655</v>
      </c>
      <c r="I119" s="82">
        <f t="shared" si="38"/>
        <v>16087.49825</v>
      </c>
      <c r="J119" s="82">
        <f t="shared" si="38"/>
        <v>18383.331</v>
      </c>
      <c r="K119" s="82">
        <f t="shared" si="38"/>
        <v>20679.16375</v>
      </c>
      <c r="L119" s="82">
        <f t="shared" si="38"/>
        <v>22974.9965</v>
      </c>
      <c r="M119" s="82">
        <f t="shared" si="38"/>
        <v>25270.82925</v>
      </c>
      <c r="N119" s="82">
        <f t="shared" si="38"/>
        <v>27566.662</v>
      </c>
      <c r="O119" s="82">
        <f t="shared" si="38"/>
        <v>30387.49475</v>
      </c>
      <c r="P119" s="83"/>
      <c r="Q119" s="84">
        <f t="shared" si="35"/>
        <v>21387.49475</v>
      </c>
      <c r="R119" s="66"/>
      <c r="S119" s="7"/>
      <c r="T119" s="7"/>
      <c r="U119" s="7"/>
      <c r="V119" s="7"/>
      <c r="W119" s="7"/>
      <c r="X119" s="7"/>
    </row>
    <row r="120" ht="19.5" customHeight="1">
      <c r="A120" s="87">
        <v>75.0</v>
      </c>
      <c r="B120" s="85" t="s">
        <v>101</v>
      </c>
      <c r="C120" s="62">
        <v>3000.0</v>
      </c>
      <c r="D120" s="82">
        <f t="shared" ref="D120:O120" si="39">C120-$A$120</f>
        <v>2925</v>
      </c>
      <c r="E120" s="82">
        <f t="shared" si="39"/>
        <v>2850</v>
      </c>
      <c r="F120" s="82">
        <f t="shared" si="39"/>
        <v>2775</v>
      </c>
      <c r="G120" s="82">
        <f t="shared" si="39"/>
        <v>2700</v>
      </c>
      <c r="H120" s="82">
        <f t="shared" si="39"/>
        <v>2625</v>
      </c>
      <c r="I120" s="82">
        <f t="shared" si="39"/>
        <v>2550</v>
      </c>
      <c r="J120" s="82">
        <f t="shared" si="39"/>
        <v>2475</v>
      </c>
      <c r="K120" s="82">
        <f t="shared" si="39"/>
        <v>2400</v>
      </c>
      <c r="L120" s="82">
        <f t="shared" si="39"/>
        <v>2325</v>
      </c>
      <c r="M120" s="82">
        <f t="shared" si="39"/>
        <v>2250</v>
      </c>
      <c r="N120" s="82">
        <f t="shared" si="39"/>
        <v>2175</v>
      </c>
      <c r="O120" s="82">
        <f t="shared" si="39"/>
        <v>2100</v>
      </c>
      <c r="P120" s="83"/>
      <c r="Q120" s="84">
        <f t="shared" si="35"/>
        <v>-900</v>
      </c>
      <c r="R120" s="66"/>
      <c r="S120" s="7"/>
      <c r="T120" s="7"/>
      <c r="U120" s="7"/>
      <c r="V120" s="7"/>
      <c r="W120" s="7"/>
      <c r="X120" s="7"/>
    </row>
    <row r="121" ht="19.5" customHeight="1">
      <c r="A121" s="7"/>
      <c r="B121" s="85" t="s">
        <v>29</v>
      </c>
      <c r="C121" s="62">
        <v>0.0</v>
      </c>
      <c r="D121" s="82">
        <v>0.0</v>
      </c>
      <c r="E121" s="82">
        <v>0.0</v>
      </c>
      <c r="F121" s="82">
        <v>0.0</v>
      </c>
      <c r="G121" s="82">
        <v>0.0</v>
      </c>
      <c r="H121" s="82">
        <v>0.0</v>
      </c>
      <c r="I121" s="82">
        <v>0.0</v>
      </c>
      <c r="J121" s="82">
        <v>0.0</v>
      </c>
      <c r="K121" s="82">
        <v>0.0</v>
      </c>
      <c r="L121" s="82">
        <v>0.0</v>
      </c>
      <c r="M121" s="82">
        <v>0.0</v>
      </c>
      <c r="N121" s="82">
        <v>0.0</v>
      </c>
      <c r="O121" s="82">
        <v>0.0</v>
      </c>
      <c r="P121" s="83"/>
      <c r="Q121" s="84">
        <v>0.0</v>
      </c>
      <c r="R121" s="66"/>
      <c r="S121" s="7"/>
      <c r="T121" s="7"/>
      <c r="U121" s="7"/>
      <c r="V121" s="7"/>
      <c r="W121" s="7"/>
      <c r="X121" s="7"/>
    </row>
    <row r="122" ht="19.5" customHeight="1">
      <c r="A122" s="7"/>
      <c r="B122" s="67"/>
      <c r="C122" s="6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9"/>
      <c r="Q122" s="90"/>
      <c r="R122" s="7"/>
      <c r="S122" s="7"/>
      <c r="T122" s="7"/>
      <c r="U122" s="7"/>
      <c r="V122" s="7"/>
      <c r="W122" s="7"/>
      <c r="X122" s="7"/>
    </row>
    <row r="123" ht="19.5" customHeight="1">
      <c r="A123" s="7"/>
      <c r="B123" s="72" t="s">
        <v>102</v>
      </c>
      <c r="C123" s="73">
        <f t="shared" ref="C123:E123" si="40">sum(C113:C121)</f>
        <v>63400</v>
      </c>
      <c r="D123" s="73">
        <f t="shared" si="40"/>
        <v>64302.5</v>
      </c>
      <c r="E123" s="73">
        <f t="shared" si="40"/>
        <v>66543.3308</v>
      </c>
      <c r="F123" s="73">
        <f>sum(F113:F119)</f>
        <v>55990.8301</v>
      </c>
      <c r="G123" s="73">
        <f t="shared" ref="G123:N123" si="41">sum(G113:G121)</f>
        <v>70386.6609</v>
      </c>
      <c r="H123" s="73">
        <f t="shared" si="41"/>
        <v>76012.4917</v>
      </c>
      <c r="I123" s="73">
        <f t="shared" si="41"/>
        <v>81638.3225</v>
      </c>
      <c r="J123" s="73">
        <f t="shared" si="41"/>
        <v>87264.1533</v>
      </c>
      <c r="K123" s="73">
        <f t="shared" si="41"/>
        <v>87384.9841</v>
      </c>
      <c r="L123" s="73">
        <f t="shared" si="41"/>
        <v>91855.8149</v>
      </c>
      <c r="M123" s="73">
        <f t="shared" si="41"/>
        <v>96326.6457</v>
      </c>
      <c r="N123" s="73">
        <f t="shared" si="41"/>
        <v>100547.4765</v>
      </c>
      <c r="O123" s="73">
        <f>Sum(O113:O121)</f>
        <v>106998.3073</v>
      </c>
      <c r="P123" s="91"/>
      <c r="Q123" s="75">
        <f>SUM(Q113:Q122)</f>
        <v>43598.3073</v>
      </c>
      <c r="R123" s="66"/>
      <c r="S123" s="7"/>
      <c r="T123" s="7"/>
      <c r="U123" s="7"/>
      <c r="V123" s="7"/>
      <c r="W123" s="7"/>
      <c r="X123" s="7"/>
    </row>
    <row r="124" ht="15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5.0" customHeight="1">
      <c r="A125" s="7"/>
      <c r="B125" s="72" t="s">
        <v>103</v>
      </c>
      <c r="C125" s="92">
        <v>584.0</v>
      </c>
      <c r="D125" s="92">
        <v>595.0</v>
      </c>
      <c r="E125" s="92">
        <v>584.0</v>
      </c>
      <c r="F125" s="92">
        <v>605.0</v>
      </c>
      <c r="G125" s="92">
        <v>605.0</v>
      </c>
      <c r="H125" s="92">
        <v>605.0</v>
      </c>
      <c r="I125" s="92">
        <v>605.0</v>
      </c>
      <c r="J125" s="92">
        <v>605.0</v>
      </c>
      <c r="K125" s="92">
        <v>605.0</v>
      </c>
      <c r="L125" s="92">
        <v>605.0</v>
      </c>
      <c r="M125" s="92">
        <v>605.0</v>
      </c>
      <c r="N125" s="92">
        <v>605.0</v>
      </c>
      <c r="O125" s="92">
        <v>605.0</v>
      </c>
      <c r="P125" s="91"/>
      <c r="Q125" s="92">
        <v>605.0</v>
      </c>
      <c r="R125" s="7"/>
      <c r="S125" s="7"/>
      <c r="T125" s="7"/>
      <c r="U125" s="7"/>
      <c r="V125" s="7"/>
      <c r="W125" s="7"/>
      <c r="X125" s="7"/>
    </row>
    <row r="126" ht="15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5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5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5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5.0" customHeight="1">
      <c r="A130" s="7"/>
      <c r="B130" s="7"/>
      <c r="C130" s="7"/>
      <c r="D130" s="9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5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5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5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5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5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5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5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5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5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5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5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5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5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5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5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5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5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5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5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5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5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5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5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5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5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5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5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5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5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5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5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5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5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5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5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5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5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5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5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5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5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5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5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5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5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5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5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5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5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5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5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5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5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5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5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5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5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5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5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5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5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5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5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5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5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5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5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5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5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5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5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5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5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5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5">
    <mergeCell ref="B2:C2"/>
    <mergeCell ref="B3:C3"/>
    <mergeCell ref="B5:C5"/>
    <mergeCell ref="B6:C6"/>
    <mergeCell ref="B99:Q99"/>
  </mergeCells>
  <conditionalFormatting sqref="D9:O11 D39:O97 Q39:Q41 D103:O106 D109:O109 D112:O114 D116:O121">
    <cfRule type="cellIs" dxfId="0" priority="1" operator="lessThan">
      <formula>0</formula>
    </cfRule>
  </conditionalFormatting>
  <conditionalFormatting sqref="D14:O20">
    <cfRule type="cellIs" dxfId="0" priority="2" operator="lessThan">
      <formula>0</formula>
    </cfRule>
  </conditionalFormatting>
  <conditionalFormatting sqref="D23:O28">
    <cfRule type="cellIs" dxfId="0" priority="3" operator="lessThan">
      <formula>0</formula>
    </cfRule>
  </conditionalFormatting>
  <conditionalFormatting sqref="D30:O30 Q30">
    <cfRule type="cellIs" dxfId="0" priority="4" operator="lessThan">
      <formula>0</formula>
    </cfRule>
  </conditionalFormatting>
  <conditionalFormatting sqref="D33:O37 C41">
    <cfRule type="cellIs" dxfId="0" priority="5" operator="lessThan">
      <formula>0</formula>
    </cfRule>
  </conditionalFormatting>
  <conditionalFormatting sqref="Q9:Q11">
    <cfRule type="cellIs" dxfId="0" priority="6" operator="lessThan">
      <formula>0</formula>
    </cfRule>
  </conditionalFormatting>
  <conditionalFormatting sqref="Q14:Q20 Q33:Q37 Q55:Q61 Q85:Q91 Q93:Q97">
    <cfRule type="cellIs" dxfId="0" priority="7" operator="lessThan">
      <formula>0</formula>
    </cfRule>
  </conditionalFormatting>
  <conditionalFormatting sqref="Q23:Q28">
    <cfRule type="cellIs" dxfId="0" priority="8" operator="lessThan">
      <formula>0</formula>
    </cfRule>
  </conditionalFormatting>
  <conditionalFormatting sqref="Q43:Q53">
    <cfRule type="cellIs" dxfId="0" priority="9" operator="lessThan">
      <formula>0</formula>
    </cfRule>
  </conditionalFormatting>
  <conditionalFormatting sqref="Q63:Q69 Q71:Q83 Q103:Q110 Q112:Q123">
    <cfRule type="cellIs" dxfId="0" priority="10" operator="lessThan">
      <formula>0</formula>
    </cfRule>
  </conditionalFormatting>
  <hyperlinks>
    <hyperlink r:id="rId1" ref="B110"/>
  </hyperlinks>
  <drawing r:id="rId2"/>
  <extLst>
    <ext uri="{05C60535-1F16-4fd2-B633-F4F36F0B64E0}">
      <x14:sparklineGroups>
        <x14:sparklineGroup displayEmptyCellsAs="gap">
          <x14:colorSeries rgb="FF00B050"/>
          <x14:sparklines>
            <x14:sparkline>
              <xm:f>'CHARLEY 2026 Projections'!D9:O9</xm:f>
              <xm:sqref>C9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Projections'!D10:O10</xm:f>
              <xm:sqref>C10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Projections'!D11:O11</xm:f>
              <xm:sqref>C11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Projections'!D14:O14</xm:f>
              <xm:sqref>C14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Projections'!D15:O15</xm:f>
              <xm:sqref>C15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Projections'!D16:O16</xm:f>
              <xm:sqref>C16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Projections'!D17:O17</xm:f>
              <xm:sqref>C17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Projections'!E18:O18</xm:f>
              <xm:sqref>C18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Projections'!E19:O19</xm:f>
              <xm:sqref>C19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Projections'!D20:O20</xm:f>
              <xm:sqref>C20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Projections'!D23:O23</xm:f>
              <xm:sqref>C23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Projections'!D24:O24</xm:f>
              <xm:sqref>C24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Projections'!D25:O25</xm:f>
              <xm:sqref>C25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Projections'!D26:O26</xm:f>
              <xm:sqref>C26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Projections'!D27:O27</xm:f>
              <xm:sqref>C27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Projections'!D28:O28</xm:f>
              <xm:sqref>C28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Projections'!D30:O30</xm:f>
              <xm:sqref>C30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Projections'!D33:O33</xm:f>
              <xm:sqref>C33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Projections'!D34:O34</xm:f>
              <xm:sqref>C34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Projections'!D36:O36</xm:f>
              <xm:sqref>C37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Projections'!D38:O38</xm:f>
              <xm:sqref>C39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Projections'!D42:O42</xm:f>
              <xm:sqref>C43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Projections'!D43:O43</xm:f>
              <xm:sqref>C44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Projections'!D44:O44</xm:f>
              <xm:sqref>C45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Projections'!D45:O45</xm:f>
              <xm:sqref>C46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Projections'!D46:O46</xm:f>
              <xm:sqref>C47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Projections'!D47:O47</xm:f>
              <xm:sqref>C48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Projections'!D48:O48</xm:f>
              <xm:sqref>C49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Projections'!D49:O49</xm:f>
              <xm:sqref>C50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Projections'!D50:O50</xm:f>
              <xm:sqref>C51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Projections'!D51:O51</xm:f>
              <xm:sqref>C52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Projections'!D54:O54</xm:f>
              <xm:sqref>C55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Projections'!D55:O55</xm:f>
              <xm:sqref>C56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Projections'!D56:O56</xm:f>
              <xm:sqref>C57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Projections'!D57:O57</xm:f>
              <xm:sqref>C58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Projections'!D58:O58</xm:f>
              <xm:sqref>C59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Projections'!D59:O59</xm:f>
              <xm:sqref>C60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Projections'!D62:O62</xm:f>
              <xm:sqref>C63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Projections'!D63:O63</xm:f>
              <xm:sqref>C64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Projections'!D64:O64</xm:f>
              <xm:sqref>C65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Projections'!D66:O66</xm:f>
              <xm:sqref>C67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Projections'!D67:O67</xm:f>
              <xm:sqref>C68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Projections'!D70:O70</xm:f>
              <xm:sqref>C71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Projections'!D71:O71</xm:f>
              <xm:sqref>C72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Projections'!D72:O72</xm:f>
              <xm:sqref>C73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Projections'!D73:O73</xm:f>
              <xm:sqref>C74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Projections'!D74:O74</xm:f>
              <xm:sqref>C75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Projections'!D75:O75</xm:f>
              <xm:sqref>C76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Projections'!D76:O76</xm:f>
              <xm:sqref>C77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Projections'!D77:O77</xm:f>
              <xm:sqref>C78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Projections'!D78:O78</xm:f>
              <xm:sqref>C79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Projections'!D79:O79</xm:f>
              <xm:sqref>C80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Projections'!D80:O80</xm:f>
              <xm:sqref>C81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Projections'!D81:O81</xm:f>
              <xm:sqref>C82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Projections'!D84:O84</xm:f>
              <xm:sqref>C85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Projections'!D85:O85</xm:f>
              <xm:sqref>C86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Projections'!D86:O86</xm:f>
              <xm:sqref>C87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Projections'!D87:O87</xm:f>
              <xm:sqref>C88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Projections'!D88:O88</xm:f>
              <xm:sqref>C89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Projections'!D89:O89</xm:f>
              <xm:sqref>C90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Projections'!D92:O92</xm:f>
              <xm:sqref>C93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Projections'!D93:O93</xm:f>
              <xm:sqref>C94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Projections'!D94:O94</xm:f>
              <xm:sqref>C95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Projections'!D96:O96</xm:f>
              <xm:sqref>C97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57.71"/>
    <col customWidth="1" min="3" max="3" width="15.86"/>
    <col customWidth="1" min="4" max="15" width="12.71"/>
    <col customWidth="1" min="16" max="16" width="3.71"/>
    <col customWidth="1" min="17" max="17" width="12.71"/>
    <col customWidth="1" min="18" max="18" width="3.71"/>
    <col customWidth="1" min="19" max="24" width="28.71"/>
  </cols>
  <sheetData>
    <row r="1" ht="49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1.75" customHeight="1">
      <c r="A2" s="3"/>
      <c r="B2" s="4" t="s">
        <v>1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</row>
    <row r="3" ht="34.5" customHeight="1">
      <c r="A3" s="8"/>
      <c r="B3" s="9" t="s">
        <v>2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8"/>
      <c r="S3" s="8"/>
      <c r="T3" s="8"/>
      <c r="U3" s="8"/>
      <c r="V3" s="8"/>
      <c r="W3" s="8"/>
      <c r="X3" s="8"/>
    </row>
    <row r="4" ht="15.0" customHeight="1">
      <c r="A4" s="7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S4" s="7"/>
      <c r="T4" s="7"/>
      <c r="U4" s="7"/>
      <c r="V4" s="7"/>
      <c r="W4" s="7"/>
      <c r="X4" s="7"/>
    </row>
    <row r="5" ht="21.75" customHeight="1">
      <c r="A5" s="3"/>
      <c r="B5" s="4" t="s">
        <v>3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  <c r="W5" s="7"/>
      <c r="X5" s="7"/>
    </row>
    <row r="6" ht="34.5" customHeight="1">
      <c r="A6" s="8"/>
      <c r="B6" s="9" t="s">
        <v>115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8"/>
      <c r="S6" s="8"/>
      <c r="T6" s="8"/>
      <c r="U6" s="8"/>
      <c r="V6" s="8"/>
      <c r="W6" s="8"/>
      <c r="X6" s="8"/>
    </row>
    <row r="7" ht="15.0" customHeight="1">
      <c r="A7" s="7"/>
      <c r="B7" s="14" t="s">
        <v>116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7"/>
      <c r="T7" s="7"/>
      <c r="U7" s="7"/>
      <c r="V7" s="7"/>
      <c r="W7" s="7"/>
      <c r="X7" s="7"/>
    </row>
    <row r="8" ht="19.5" customHeight="1">
      <c r="A8" s="8"/>
      <c r="B8" s="12"/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1"/>
      <c r="Q8" s="15" t="s">
        <v>19</v>
      </c>
      <c r="S8" s="8"/>
      <c r="T8" s="8"/>
      <c r="U8" s="8"/>
      <c r="V8" s="8"/>
      <c r="W8" s="8"/>
      <c r="X8" s="8"/>
    </row>
    <row r="9" ht="19.5" customHeight="1">
      <c r="A9" s="7"/>
      <c r="B9" s="16" t="s">
        <v>20</v>
      </c>
      <c r="C9" s="17"/>
      <c r="D9" s="18">
        <f t="shared" ref="D9:O9" si="1">D38</f>
        <v>6576</v>
      </c>
      <c r="E9" s="18">
        <f t="shared" si="1"/>
        <v>10399.9968</v>
      </c>
      <c r="F9" s="18">
        <f t="shared" si="1"/>
        <v>10399.9968</v>
      </c>
      <c r="G9" s="18">
        <f t="shared" si="1"/>
        <v>12999.9968</v>
      </c>
      <c r="H9" s="18">
        <f t="shared" si="1"/>
        <v>10399.9968</v>
      </c>
      <c r="I9" s="18">
        <f t="shared" si="1"/>
        <v>10399.9968</v>
      </c>
      <c r="J9" s="18">
        <f t="shared" si="1"/>
        <v>10399.9968</v>
      </c>
      <c r="K9" s="18">
        <f t="shared" si="1"/>
        <v>10399.9968</v>
      </c>
      <c r="L9" s="18">
        <f t="shared" si="1"/>
        <v>10399.9968</v>
      </c>
      <c r="M9" s="18">
        <f t="shared" si="1"/>
        <v>10399.9968</v>
      </c>
      <c r="N9" s="18">
        <f t="shared" si="1"/>
        <v>10399.9968</v>
      </c>
      <c r="O9" s="18">
        <f t="shared" si="1"/>
        <v>13399.9968</v>
      </c>
      <c r="P9" s="19"/>
      <c r="Q9" s="18">
        <f t="shared" ref="Q9:Q10" si="3">SUM(D9:O9)</f>
        <v>126575.9648</v>
      </c>
      <c r="S9" s="7"/>
      <c r="T9" s="7"/>
      <c r="U9" s="7"/>
      <c r="V9" s="7"/>
    </row>
    <row r="10" ht="19.5" customHeight="1">
      <c r="A10" s="7"/>
      <c r="B10" s="16" t="s">
        <v>21</v>
      </c>
      <c r="C10" s="20"/>
      <c r="D10" s="21">
        <f t="shared" ref="D10:O10" si="2">D96</f>
        <v>7848.5</v>
      </c>
      <c r="E10" s="21">
        <f t="shared" si="2"/>
        <v>7317.4992</v>
      </c>
      <c r="F10" s="21">
        <f t="shared" si="2"/>
        <v>8527.4992</v>
      </c>
      <c r="G10" s="21">
        <f t="shared" si="2"/>
        <v>6557.4992</v>
      </c>
      <c r="H10" s="21">
        <f t="shared" si="2"/>
        <v>5932.4992</v>
      </c>
      <c r="I10" s="21">
        <f t="shared" si="2"/>
        <v>5932.4992</v>
      </c>
      <c r="J10" s="21">
        <f t="shared" si="2"/>
        <v>5932.4992</v>
      </c>
      <c r="K10" s="21">
        <f t="shared" si="2"/>
        <v>6182.4992</v>
      </c>
      <c r="L10" s="21">
        <f t="shared" si="2"/>
        <v>5932.4992</v>
      </c>
      <c r="M10" s="21">
        <f t="shared" si="2"/>
        <v>5932.4992</v>
      </c>
      <c r="N10" s="21">
        <f t="shared" si="2"/>
        <v>6182.4992</v>
      </c>
      <c r="O10" s="21">
        <f t="shared" si="2"/>
        <v>6952.4992</v>
      </c>
      <c r="P10" s="7"/>
      <c r="Q10" s="21">
        <f t="shared" si="3"/>
        <v>79230.9912</v>
      </c>
      <c r="R10" s="7"/>
      <c r="S10" s="7"/>
      <c r="T10" s="7"/>
      <c r="U10" s="7"/>
      <c r="V10" s="7"/>
      <c r="W10" s="7"/>
      <c r="X10" s="7"/>
    </row>
    <row r="11" ht="21.75" customHeight="1">
      <c r="A11" s="7"/>
      <c r="B11" s="16" t="s">
        <v>22</v>
      </c>
      <c r="C11" s="22"/>
      <c r="D11" s="23">
        <f t="shared" ref="D11:O11" si="4">D9-D10</f>
        <v>-1272.5</v>
      </c>
      <c r="E11" s="23">
        <f t="shared" si="4"/>
        <v>3082.4976</v>
      </c>
      <c r="F11" s="23">
        <f t="shared" si="4"/>
        <v>1872.4976</v>
      </c>
      <c r="G11" s="23">
        <f t="shared" si="4"/>
        <v>6442.4976</v>
      </c>
      <c r="H11" s="23">
        <f t="shared" si="4"/>
        <v>4467.4976</v>
      </c>
      <c r="I11" s="23">
        <f t="shared" si="4"/>
        <v>4467.4976</v>
      </c>
      <c r="J11" s="23">
        <f t="shared" si="4"/>
        <v>4467.4976</v>
      </c>
      <c r="K11" s="23">
        <f t="shared" si="4"/>
        <v>4217.4976</v>
      </c>
      <c r="L11" s="23">
        <f t="shared" si="4"/>
        <v>4467.4976</v>
      </c>
      <c r="M11" s="23">
        <f t="shared" si="4"/>
        <v>4467.4976</v>
      </c>
      <c r="N11" s="23">
        <f t="shared" si="4"/>
        <v>4217.4976</v>
      </c>
      <c r="O11" s="23">
        <f t="shared" si="4"/>
        <v>6447.4976</v>
      </c>
      <c r="P11" s="19"/>
      <c r="Q11" s="23">
        <f>Q9-Q10</f>
        <v>47344.9736</v>
      </c>
      <c r="S11" s="7"/>
      <c r="T11" s="7"/>
      <c r="U11" s="7"/>
      <c r="V11" s="7"/>
    </row>
    <row r="12" ht="19.5" customHeight="1">
      <c r="A12" s="7"/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9"/>
      <c r="Q12" s="7"/>
      <c r="S12" s="7"/>
      <c r="T12" s="7"/>
      <c r="U12" s="7"/>
      <c r="V12" s="7"/>
    </row>
    <row r="13" ht="31.5" customHeight="1">
      <c r="A13" s="8"/>
      <c r="B13" s="24" t="s">
        <v>23</v>
      </c>
      <c r="C13" s="15" t="s">
        <v>6</v>
      </c>
      <c r="D13" s="25" t="s">
        <v>7</v>
      </c>
      <c r="E13" s="25" t="s">
        <v>8</v>
      </c>
      <c r="F13" s="25" t="s">
        <v>9</v>
      </c>
      <c r="G13" s="25" t="s">
        <v>10</v>
      </c>
      <c r="H13" s="25" t="s">
        <v>11</v>
      </c>
      <c r="I13" s="25" t="s">
        <v>12</v>
      </c>
      <c r="J13" s="25" t="s">
        <v>13</v>
      </c>
      <c r="K13" s="25" t="s">
        <v>14</v>
      </c>
      <c r="L13" s="25" t="s">
        <v>15</v>
      </c>
      <c r="M13" s="25" t="s">
        <v>16</v>
      </c>
      <c r="N13" s="25" t="s">
        <v>17</v>
      </c>
      <c r="O13" s="25" t="s">
        <v>18</v>
      </c>
      <c r="P13" s="11"/>
      <c r="Q13" s="25" t="s">
        <v>19</v>
      </c>
      <c r="S13" s="8"/>
      <c r="T13" s="8"/>
      <c r="U13" s="8"/>
      <c r="V13" s="8"/>
      <c r="W13" s="8"/>
      <c r="X13" s="8"/>
    </row>
    <row r="14" ht="19.5" customHeight="1">
      <c r="A14" s="7"/>
      <c r="B14" s="26" t="s">
        <v>24</v>
      </c>
      <c r="C14" s="27"/>
      <c r="D14" s="28">
        <f>5000+5000</f>
        <v>10000</v>
      </c>
      <c r="E14" s="28">
        <v>10833.33</v>
      </c>
      <c r="F14" s="28">
        <v>10833.33</v>
      </c>
      <c r="G14" s="28">
        <v>10833.33</v>
      </c>
      <c r="H14" s="28">
        <v>10833.33</v>
      </c>
      <c r="I14" s="28">
        <v>10833.33</v>
      </c>
      <c r="J14" s="28">
        <v>10833.33</v>
      </c>
      <c r="K14" s="28">
        <v>10833.33</v>
      </c>
      <c r="L14" s="28">
        <v>10833.33</v>
      </c>
      <c r="M14" s="28">
        <v>10833.33</v>
      </c>
      <c r="N14" s="28">
        <v>10833.33</v>
      </c>
      <c r="O14" s="28">
        <v>10833.33</v>
      </c>
      <c r="P14" s="19"/>
      <c r="Q14" s="29">
        <f t="shared" ref="Q14:Q18" si="5">SUM(D14:O14)</f>
        <v>129166.63</v>
      </c>
      <c r="S14" s="7"/>
      <c r="T14" s="7"/>
      <c r="U14" s="7"/>
      <c r="V14" s="7"/>
    </row>
    <row r="15" ht="19.5" customHeight="1">
      <c r="A15" s="7"/>
      <c r="B15" s="26" t="s">
        <v>25</v>
      </c>
      <c r="C15" s="27"/>
      <c r="D15" s="28">
        <v>2500.0</v>
      </c>
      <c r="E15" s="28">
        <v>0.0</v>
      </c>
      <c r="F15" s="28">
        <v>0.0</v>
      </c>
      <c r="G15" s="28">
        <v>0.0</v>
      </c>
      <c r="H15" s="29">
        <v>0.0</v>
      </c>
      <c r="I15" s="29">
        <v>0.0</v>
      </c>
      <c r="J15" s="29">
        <v>0.0</v>
      </c>
      <c r="K15" s="29">
        <v>0.0</v>
      </c>
      <c r="L15" s="29">
        <v>0.0</v>
      </c>
      <c r="M15" s="29">
        <v>0.0</v>
      </c>
      <c r="N15" s="29">
        <v>0.0</v>
      </c>
      <c r="O15" s="28">
        <v>3000.0</v>
      </c>
      <c r="P15" s="19"/>
      <c r="Q15" s="29">
        <f t="shared" si="5"/>
        <v>5500</v>
      </c>
      <c r="S15" s="7"/>
      <c r="T15" s="7"/>
      <c r="U15" s="7"/>
      <c r="V15" s="7"/>
    </row>
    <row r="16" ht="19.5" customHeight="1">
      <c r="A16" s="7"/>
      <c r="B16" s="26" t="s">
        <v>117</v>
      </c>
      <c r="C16" s="27"/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0.0</v>
      </c>
      <c r="L16" s="29">
        <v>0.0</v>
      </c>
      <c r="M16" s="29">
        <v>0.0</v>
      </c>
      <c r="N16" s="29">
        <v>0.0</v>
      </c>
      <c r="O16" s="29">
        <v>0.0</v>
      </c>
      <c r="P16" s="19"/>
      <c r="Q16" s="29">
        <f t="shared" si="5"/>
        <v>0</v>
      </c>
      <c r="S16" s="7"/>
      <c r="T16" s="7"/>
      <c r="U16" s="7"/>
      <c r="V16" s="7"/>
    </row>
    <row r="17" ht="19.5" customHeight="1">
      <c r="A17" s="7"/>
      <c r="B17" s="26" t="s">
        <v>28</v>
      </c>
      <c r="C17" s="27"/>
      <c r="D17" s="28"/>
      <c r="E17" s="29">
        <v>0.0</v>
      </c>
      <c r="F17" s="29">
        <v>0.0</v>
      </c>
      <c r="G17" s="28">
        <v>2400.0</v>
      </c>
      <c r="H17" s="29">
        <v>0.0</v>
      </c>
      <c r="I17" s="29">
        <v>0.0</v>
      </c>
      <c r="J17" s="29">
        <v>0.0</v>
      </c>
      <c r="K17" s="29">
        <v>0.0</v>
      </c>
      <c r="L17" s="29">
        <v>0.0</v>
      </c>
      <c r="M17" s="29">
        <v>0.0</v>
      </c>
      <c r="N17" s="29">
        <v>0.0</v>
      </c>
      <c r="O17" s="29">
        <v>0.0</v>
      </c>
      <c r="P17" s="19"/>
      <c r="Q17" s="29">
        <f t="shared" si="5"/>
        <v>2400</v>
      </c>
      <c r="S17" s="7"/>
      <c r="T17" s="7"/>
      <c r="U17" s="7"/>
      <c r="V17" s="7"/>
    </row>
    <row r="18" ht="19.5" customHeight="1">
      <c r="A18" s="7"/>
      <c r="B18" s="26" t="s">
        <v>29</v>
      </c>
      <c r="C18" s="27"/>
      <c r="D18" s="28">
        <v>0.0</v>
      </c>
      <c r="E18" s="28">
        <v>0.0</v>
      </c>
      <c r="F18" s="29">
        <v>0.0</v>
      </c>
      <c r="G18" s="28">
        <v>200.0</v>
      </c>
      <c r="H18" s="29">
        <v>0.0</v>
      </c>
      <c r="I18" s="29">
        <v>0.0</v>
      </c>
      <c r="J18" s="28">
        <v>0.0</v>
      </c>
      <c r="K18" s="29">
        <v>0.0</v>
      </c>
      <c r="L18" s="29">
        <v>0.0</v>
      </c>
      <c r="M18" s="29">
        <v>0.0</v>
      </c>
      <c r="N18" s="29">
        <v>0.0</v>
      </c>
      <c r="O18" s="29">
        <v>0.0</v>
      </c>
      <c r="P18" s="19"/>
      <c r="Q18" s="29">
        <f t="shared" si="5"/>
        <v>200</v>
      </c>
      <c r="S18" s="7"/>
      <c r="T18" s="7"/>
      <c r="U18" s="7"/>
      <c r="V18" s="7"/>
    </row>
    <row r="19" ht="19.5" customHeight="1">
      <c r="A19" s="7"/>
      <c r="B19" s="16" t="s">
        <v>30</v>
      </c>
      <c r="C19" s="17"/>
      <c r="D19" s="18">
        <f t="shared" ref="D19:O19" si="6">SUM(D14:D18)</f>
        <v>12500</v>
      </c>
      <c r="E19" s="18">
        <f t="shared" si="6"/>
        <v>10833.33</v>
      </c>
      <c r="F19" s="18">
        <f t="shared" si="6"/>
        <v>10833.33</v>
      </c>
      <c r="G19" s="18">
        <f t="shared" si="6"/>
        <v>13433.33</v>
      </c>
      <c r="H19" s="18">
        <f t="shared" si="6"/>
        <v>10833.33</v>
      </c>
      <c r="I19" s="18">
        <f t="shared" si="6"/>
        <v>10833.33</v>
      </c>
      <c r="J19" s="18">
        <f t="shared" si="6"/>
        <v>10833.33</v>
      </c>
      <c r="K19" s="18">
        <f t="shared" si="6"/>
        <v>10833.33</v>
      </c>
      <c r="L19" s="18">
        <f t="shared" si="6"/>
        <v>10833.33</v>
      </c>
      <c r="M19" s="18">
        <f t="shared" si="6"/>
        <v>10833.33</v>
      </c>
      <c r="N19" s="18">
        <f t="shared" si="6"/>
        <v>10833.33</v>
      </c>
      <c r="O19" s="18">
        <f t="shared" si="6"/>
        <v>13833.33</v>
      </c>
      <c r="P19" s="19"/>
      <c r="Q19" s="18">
        <f>SUM(Q14:Q18)</f>
        <v>137266.63</v>
      </c>
      <c r="S19" s="7"/>
      <c r="T19" s="7"/>
      <c r="U19" s="7"/>
      <c r="V19" s="7"/>
    </row>
    <row r="20" ht="19.5" hidden="1" customHeight="1">
      <c r="A20" s="7"/>
      <c r="B20" s="7"/>
      <c r="C20" s="1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9"/>
      <c r="Q20" s="7"/>
      <c r="S20" s="7"/>
      <c r="T20" s="7"/>
      <c r="U20" s="7"/>
      <c r="V20" s="7"/>
    </row>
    <row r="21" ht="31.5" hidden="1" customHeight="1">
      <c r="A21" s="7"/>
      <c r="B21" s="24" t="s">
        <v>31</v>
      </c>
      <c r="C21" s="15" t="s">
        <v>6</v>
      </c>
      <c r="D21" s="15" t="s">
        <v>7</v>
      </c>
      <c r="E21" s="15" t="s">
        <v>8</v>
      </c>
      <c r="F21" s="15" t="s">
        <v>9</v>
      </c>
      <c r="G21" s="15" t="s">
        <v>10</v>
      </c>
      <c r="H21" s="15" t="s">
        <v>11</v>
      </c>
      <c r="I21" s="15" t="s">
        <v>12</v>
      </c>
      <c r="J21" s="15" t="s">
        <v>13</v>
      </c>
      <c r="K21" s="15" t="s">
        <v>14</v>
      </c>
      <c r="L21" s="15" t="s">
        <v>15</v>
      </c>
      <c r="M21" s="15" t="s">
        <v>16</v>
      </c>
      <c r="N21" s="15" t="s">
        <v>17</v>
      </c>
      <c r="O21" s="15" t="s">
        <v>18</v>
      </c>
      <c r="P21" s="19"/>
      <c r="Q21" s="25" t="s">
        <v>19</v>
      </c>
      <c r="S21" s="7"/>
      <c r="T21" s="7"/>
      <c r="U21" s="7"/>
      <c r="V21" s="7"/>
    </row>
    <row r="22" ht="19.5" hidden="1" customHeight="1">
      <c r="A22" s="30"/>
      <c r="B22" s="31" t="s">
        <v>32</v>
      </c>
      <c r="C22" s="27"/>
      <c r="D22" s="32">
        <v>0.0</v>
      </c>
      <c r="E22" s="32">
        <v>0.0</v>
      </c>
      <c r="F22" s="32">
        <v>0.0</v>
      </c>
      <c r="G22" s="33">
        <v>0.0</v>
      </c>
      <c r="H22" s="33">
        <v>0.0</v>
      </c>
      <c r="I22" s="33">
        <v>0.0</v>
      </c>
      <c r="J22" s="33">
        <v>0.0</v>
      </c>
      <c r="K22" s="33">
        <v>0.0</v>
      </c>
      <c r="L22" s="33">
        <v>0.0</v>
      </c>
      <c r="M22" s="33">
        <v>0.0</v>
      </c>
      <c r="N22" s="33">
        <v>0.0</v>
      </c>
      <c r="O22" s="33">
        <v>0.0</v>
      </c>
      <c r="P22" s="19"/>
      <c r="Q22" s="33">
        <f t="shared" ref="Q22:Q26" si="7">SUM(D22:O22)</f>
        <v>0</v>
      </c>
      <c r="S22" s="30"/>
      <c r="T22" s="30"/>
      <c r="U22" s="30"/>
      <c r="V22" s="30"/>
    </row>
    <row r="23" ht="19.5" hidden="1" customHeight="1">
      <c r="A23" s="7"/>
      <c r="B23" s="31" t="s">
        <v>33</v>
      </c>
      <c r="C23" s="27"/>
      <c r="D23" s="32">
        <v>0.0</v>
      </c>
      <c r="E23" s="32">
        <v>0.0</v>
      </c>
      <c r="F23" s="32">
        <v>0.0</v>
      </c>
      <c r="G23" s="33">
        <v>0.0</v>
      </c>
      <c r="H23" s="33">
        <v>0.0</v>
      </c>
      <c r="I23" s="33">
        <v>0.0</v>
      </c>
      <c r="J23" s="33">
        <v>0.0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  <c r="P23" s="34"/>
      <c r="Q23" s="33">
        <f t="shared" si="7"/>
        <v>0</v>
      </c>
      <c r="S23" s="7"/>
      <c r="T23" s="7"/>
      <c r="U23" s="7"/>
      <c r="V23" s="7"/>
    </row>
    <row r="24" ht="19.5" hidden="1" customHeight="1">
      <c r="A24" s="7"/>
      <c r="B24" s="31" t="s">
        <v>34</v>
      </c>
      <c r="C24" s="27"/>
      <c r="D24" s="32">
        <v>0.0</v>
      </c>
      <c r="E24" s="32">
        <v>0.0</v>
      </c>
      <c r="F24" s="32">
        <v>0.0</v>
      </c>
      <c r="G24" s="33">
        <v>0.0</v>
      </c>
      <c r="H24" s="33">
        <v>0.0</v>
      </c>
      <c r="I24" s="33">
        <v>0.0</v>
      </c>
      <c r="J24" s="33">
        <v>0.0</v>
      </c>
      <c r="K24" s="33">
        <v>0.0</v>
      </c>
      <c r="L24" s="33">
        <v>0.0</v>
      </c>
      <c r="M24" s="33">
        <v>0.0</v>
      </c>
      <c r="N24" s="33">
        <v>0.0</v>
      </c>
      <c r="O24" s="33">
        <v>0.0</v>
      </c>
      <c r="P24" s="34"/>
      <c r="Q24" s="33">
        <f t="shared" si="7"/>
        <v>0</v>
      </c>
      <c r="S24" s="7"/>
      <c r="T24" s="7"/>
      <c r="U24" s="7"/>
      <c r="V24" s="7"/>
    </row>
    <row r="25" ht="19.5" hidden="1" customHeight="1">
      <c r="A25" s="7"/>
      <c r="B25" s="31" t="s">
        <v>35</v>
      </c>
      <c r="C25" s="27"/>
      <c r="D25" s="32">
        <v>0.0</v>
      </c>
      <c r="E25" s="32">
        <v>0.0</v>
      </c>
      <c r="F25" s="32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4"/>
      <c r="Q25" s="33">
        <f t="shared" si="7"/>
        <v>0</v>
      </c>
      <c r="S25" s="7"/>
      <c r="T25" s="7"/>
      <c r="U25" s="7"/>
      <c r="V25" s="7"/>
    </row>
    <row r="26" ht="19.5" hidden="1" customHeight="1">
      <c r="A26" s="3"/>
      <c r="B26" s="31" t="s">
        <v>29</v>
      </c>
      <c r="C26" s="27"/>
      <c r="D26" s="32">
        <v>0.0</v>
      </c>
      <c r="E26" s="32">
        <v>0.0</v>
      </c>
      <c r="F26" s="32">
        <v>0.0</v>
      </c>
      <c r="G26" s="33">
        <v>0.0</v>
      </c>
      <c r="H26" s="33">
        <v>0.0</v>
      </c>
      <c r="I26" s="33">
        <v>0.0</v>
      </c>
      <c r="J26" s="33">
        <v>0.0</v>
      </c>
      <c r="K26" s="33">
        <v>0.0</v>
      </c>
      <c r="L26" s="33">
        <v>0.0</v>
      </c>
      <c r="M26" s="33">
        <v>0.0</v>
      </c>
      <c r="N26" s="33">
        <v>0.0</v>
      </c>
      <c r="O26" s="33">
        <v>0.0</v>
      </c>
      <c r="P26" s="34"/>
      <c r="Q26" s="33">
        <f t="shared" si="7"/>
        <v>0</v>
      </c>
      <c r="S26" s="3"/>
      <c r="T26" s="3"/>
      <c r="U26" s="3"/>
      <c r="V26" s="3"/>
    </row>
    <row r="27" ht="19.5" hidden="1" customHeight="1">
      <c r="A27" s="7"/>
      <c r="B27" s="16" t="s">
        <v>36</v>
      </c>
      <c r="C27" s="17"/>
      <c r="D27" s="18">
        <f t="shared" ref="D27:O27" si="8">SUM(D22:D26)</f>
        <v>0</v>
      </c>
      <c r="E27" s="18">
        <f t="shared" si="8"/>
        <v>0</v>
      </c>
      <c r="F27" s="18">
        <f t="shared" si="8"/>
        <v>0</v>
      </c>
      <c r="G27" s="18">
        <f t="shared" si="8"/>
        <v>0</v>
      </c>
      <c r="H27" s="18">
        <f t="shared" si="8"/>
        <v>0</v>
      </c>
      <c r="I27" s="18">
        <f t="shared" si="8"/>
        <v>0</v>
      </c>
      <c r="J27" s="18">
        <f t="shared" si="8"/>
        <v>0</v>
      </c>
      <c r="K27" s="18">
        <f t="shared" si="8"/>
        <v>0</v>
      </c>
      <c r="L27" s="18">
        <f t="shared" si="8"/>
        <v>0</v>
      </c>
      <c r="M27" s="18">
        <f t="shared" si="8"/>
        <v>0</v>
      </c>
      <c r="N27" s="18">
        <f t="shared" si="8"/>
        <v>0</v>
      </c>
      <c r="O27" s="18">
        <f t="shared" si="8"/>
        <v>0</v>
      </c>
      <c r="P27" s="19"/>
      <c r="Q27" s="18">
        <f>SUM(Q22:Q26)</f>
        <v>0</v>
      </c>
      <c r="S27" s="7"/>
      <c r="T27" s="7"/>
      <c r="U27" s="7"/>
      <c r="V27" s="7"/>
    </row>
    <row r="28" ht="19.5" customHeight="1">
      <c r="A28" s="7"/>
      <c r="B28" s="7"/>
      <c r="C28" s="1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19"/>
      <c r="Q28" s="7"/>
      <c r="S28" s="7"/>
      <c r="T28" s="7"/>
      <c r="U28" s="7"/>
      <c r="V28" s="7"/>
    </row>
    <row r="29" ht="19.5" customHeight="1">
      <c r="A29" s="7"/>
      <c r="B29" s="16" t="s">
        <v>37</v>
      </c>
      <c r="C29" s="17"/>
      <c r="D29" s="18">
        <f t="shared" ref="D29:O29" si="9">D19-D27</f>
        <v>12500</v>
      </c>
      <c r="E29" s="18">
        <f t="shared" si="9"/>
        <v>10833.33</v>
      </c>
      <c r="F29" s="18">
        <f t="shared" si="9"/>
        <v>10833.33</v>
      </c>
      <c r="G29" s="18">
        <f t="shared" si="9"/>
        <v>13433.33</v>
      </c>
      <c r="H29" s="18">
        <f t="shared" si="9"/>
        <v>10833.33</v>
      </c>
      <c r="I29" s="18">
        <f t="shared" si="9"/>
        <v>10833.33</v>
      </c>
      <c r="J29" s="18">
        <f t="shared" si="9"/>
        <v>10833.33</v>
      </c>
      <c r="K29" s="18">
        <f t="shared" si="9"/>
        <v>10833.33</v>
      </c>
      <c r="L29" s="18">
        <f t="shared" si="9"/>
        <v>10833.33</v>
      </c>
      <c r="M29" s="18">
        <f t="shared" si="9"/>
        <v>10833.33</v>
      </c>
      <c r="N29" s="18">
        <f t="shared" si="9"/>
        <v>10833.33</v>
      </c>
      <c r="O29" s="18">
        <f t="shared" si="9"/>
        <v>13833.33</v>
      </c>
      <c r="P29" s="19"/>
      <c r="Q29" s="18">
        <f>Q19-Q27</f>
        <v>137266.63</v>
      </c>
      <c r="S29" s="7"/>
      <c r="T29" s="7"/>
      <c r="U29" s="7"/>
      <c r="V29" s="7"/>
    </row>
    <row r="30" ht="19.5" customHeight="1">
      <c r="A30" s="7"/>
      <c r="B30" s="7"/>
      <c r="C30" s="19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9"/>
      <c r="Q30" s="7"/>
      <c r="S30" s="7"/>
      <c r="T30" s="7"/>
      <c r="U30" s="7"/>
      <c r="V30" s="7"/>
    </row>
    <row r="31" ht="31.5" customHeight="1">
      <c r="A31" s="7"/>
      <c r="B31" s="35" t="s">
        <v>38</v>
      </c>
      <c r="C31" s="15" t="s">
        <v>6</v>
      </c>
      <c r="D31" s="15" t="s">
        <v>7</v>
      </c>
      <c r="E31" s="15" t="s">
        <v>8</v>
      </c>
      <c r="F31" s="15" t="s">
        <v>9</v>
      </c>
      <c r="G31" s="15" t="s">
        <v>10</v>
      </c>
      <c r="H31" s="15" t="s">
        <v>11</v>
      </c>
      <c r="I31" s="15" t="s">
        <v>12</v>
      </c>
      <c r="J31" s="15" t="s">
        <v>13</v>
      </c>
      <c r="K31" s="15" t="s">
        <v>14</v>
      </c>
      <c r="L31" s="15" t="s">
        <v>15</v>
      </c>
      <c r="M31" s="15" t="s">
        <v>16</v>
      </c>
      <c r="N31" s="15" t="s">
        <v>17</v>
      </c>
      <c r="O31" s="15" t="s">
        <v>18</v>
      </c>
      <c r="P31" s="19"/>
      <c r="Q31" s="25" t="s">
        <v>19</v>
      </c>
      <c r="S31" s="7"/>
      <c r="T31" s="7"/>
      <c r="U31" s="7"/>
      <c r="V31" s="7"/>
    </row>
    <row r="32" ht="19.5" customHeight="1">
      <c r="A32" s="36">
        <v>0.04</v>
      </c>
      <c r="B32" s="26" t="s">
        <v>39</v>
      </c>
      <c r="C32" s="27"/>
      <c r="D32" s="32">
        <f>900+450+900</f>
        <v>2250</v>
      </c>
      <c r="E32" s="32">
        <f t="shared" ref="E32:O32" si="10">E14*$A$32</f>
        <v>433.3332</v>
      </c>
      <c r="F32" s="32">
        <f t="shared" si="10"/>
        <v>433.3332</v>
      </c>
      <c r="G32" s="32">
        <f t="shared" si="10"/>
        <v>433.3332</v>
      </c>
      <c r="H32" s="32">
        <f t="shared" si="10"/>
        <v>433.3332</v>
      </c>
      <c r="I32" s="32">
        <f t="shared" si="10"/>
        <v>433.3332</v>
      </c>
      <c r="J32" s="32">
        <f t="shared" si="10"/>
        <v>433.3332</v>
      </c>
      <c r="K32" s="32">
        <f t="shared" si="10"/>
        <v>433.3332</v>
      </c>
      <c r="L32" s="32">
        <f t="shared" si="10"/>
        <v>433.3332</v>
      </c>
      <c r="M32" s="32">
        <f t="shared" si="10"/>
        <v>433.3332</v>
      </c>
      <c r="N32" s="32">
        <f t="shared" si="10"/>
        <v>433.3332</v>
      </c>
      <c r="O32" s="32">
        <f t="shared" si="10"/>
        <v>433.3332</v>
      </c>
      <c r="P32" s="19"/>
      <c r="Q32" s="33">
        <f t="shared" ref="Q32:Q35" si="12">SUM(D32:O32)</f>
        <v>7016.6652</v>
      </c>
      <c r="S32" s="30"/>
      <c r="T32" s="30"/>
      <c r="U32" s="30"/>
      <c r="V32" s="30"/>
    </row>
    <row r="33" ht="19.5" customHeight="1">
      <c r="A33" s="36">
        <v>0.0</v>
      </c>
      <c r="B33" s="26" t="s">
        <v>40</v>
      </c>
      <c r="C33" s="27"/>
      <c r="D33" s="32">
        <f>512+250+512</f>
        <v>1274</v>
      </c>
      <c r="E33" s="32">
        <f t="shared" ref="E33:G33" si="11">E14*$A$33</f>
        <v>0</v>
      </c>
      <c r="F33" s="32">
        <f t="shared" si="11"/>
        <v>0</v>
      </c>
      <c r="G33" s="32">
        <f t="shared" si="11"/>
        <v>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4"/>
      <c r="Q33" s="33">
        <f t="shared" si="12"/>
        <v>1274</v>
      </c>
      <c r="S33" s="7"/>
      <c r="T33" s="7"/>
      <c r="U33" s="7"/>
      <c r="V33" s="7"/>
    </row>
    <row r="34" ht="19.5" customHeight="1">
      <c r="A34" s="54"/>
      <c r="B34" s="94" t="s">
        <v>106</v>
      </c>
      <c r="C34" s="95"/>
      <c r="D34" s="96">
        <v>2400.0</v>
      </c>
      <c r="E34" s="97"/>
      <c r="F34" s="98">
        <v>0.0</v>
      </c>
      <c r="G34" s="98">
        <v>0.0</v>
      </c>
      <c r="H34" s="98">
        <v>0.0</v>
      </c>
      <c r="I34" s="98">
        <v>0.0</v>
      </c>
      <c r="J34" s="98">
        <v>0.0</v>
      </c>
      <c r="K34" s="98">
        <v>0.0</v>
      </c>
      <c r="L34" s="98">
        <v>0.0</v>
      </c>
      <c r="M34" s="98">
        <v>0.0</v>
      </c>
      <c r="N34" s="98">
        <v>0.0</v>
      </c>
      <c r="O34" s="98">
        <v>0.0</v>
      </c>
      <c r="P34" s="99"/>
      <c r="Q34" s="98">
        <f t="shared" si="12"/>
        <v>2400</v>
      </c>
      <c r="R34" s="60"/>
      <c r="S34" s="54"/>
      <c r="T34" s="54"/>
      <c r="U34" s="54"/>
      <c r="V34" s="54"/>
      <c r="W34" s="60"/>
      <c r="X34" s="60"/>
      <c r="Y34" s="60"/>
      <c r="Z34" s="60"/>
    </row>
    <row r="35" ht="19.5" customHeight="1">
      <c r="A35" s="3"/>
      <c r="B35" s="31" t="s">
        <v>29</v>
      </c>
      <c r="C35" s="27"/>
      <c r="D35" s="32">
        <v>0.0</v>
      </c>
      <c r="E35" s="32"/>
      <c r="F35" s="32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4"/>
      <c r="Q35" s="33">
        <f t="shared" si="12"/>
        <v>0</v>
      </c>
      <c r="S35" s="3"/>
      <c r="T35" s="3"/>
      <c r="U35" s="3"/>
      <c r="V35" s="3"/>
    </row>
    <row r="36" ht="19.5" customHeight="1">
      <c r="A36" s="7"/>
      <c r="B36" s="16" t="s">
        <v>41</v>
      </c>
      <c r="C36" s="17"/>
      <c r="D36" s="18">
        <f t="shared" ref="D36:O36" si="13">SUM(D32:D35)</f>
        <v>5924</v>
      </c>
      <c r="E36" s="18">
        <f t="shared" si="13"/>
        <v>433.3332</v>
      </c>
      <c r="F36" s="18">
        <f t="shared" si="13"/>
        <v>433.3332</v>
      </c>
      <c r="G36" s="18">
        <f t="shared" si="13"/>
        <v>433.3332</v>
      </c>
      <c r="H36" s="18">
        <f t="shared" si="13"/>
        <v>433.3332</v>
      </c>
      <c r="I36" s="18">
        <f t="shared" si="13"/>
        <v>433.3332</v>
      </c>
      <c r="J36" s="18">
        <f t="shared" si="13"/>
        <v>433.3332</v>
      </c>
      <c r="K36" s="18">
        <f t="shared" si="13"/>
        <v>433.3332</v>
      </c>
      <c r="L36" s="18">
        <f t="shared" si="13"/>
        <v>433.3332</v>
      </c>
      <c r="M36" s="18">
        <f t="shared" si="13"/>
        <v>433.3332</v>
      </c>
      <c r="N36" s="18">
        <f t="shared" si="13"/>
        <v>433.3332</v>
      </c>
      <c r="O36" s="18">
        <f t="shared" si="13"/>
        <v>433.3332</v>
      </c>
      <c r="P36" s="19"/>
      <c r="Q36" s="18">
        <f>SUM(Q32:Q35)</f>
        <v>10690.6652</v>
      </c>
      <c r="S36" s="7"/>
      <c r="T36" s="7"/>
      <c r="U36" s="7"/>
      <c r="V36" s="7"/>
    </row>
    <row r="37" ht="19.5" customHeight="1">
      <c r="A37" s="7"/>
      <c r="B37" s="7"/>
      <c r="C37" s="1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19"/>
      <c r="Q37" s="7"/>
      <c r="S37" s="7"/>
      <c r="T37" s="7"/>
      <c r="U37" s="7"/>
      <c r="V37" s="7"/>
    </row>
    <row r="38" ht="19.5" customHeight="1">
      <c r="A38" s="7"/>
      <c r="B38" s="16" t="s">
        <v>20</v>
      </c>
      <c r="C38" s="17"/>
      <c r="D38" s="18">
        <f t="shared" ref="D38:O38" si="14">D19-D27-D36</f>
        <v>6576</v>
      </c>
      <c r="E38" s="18">
        <f t="shared" si="14"/>
        <v>10399.9968</v>
      </c>
      <c r="F38" s="18">
        <f t="shared" si="14"/>
        <v>10399.9968</v>
      </c>
      <c r="G38" s="18">
        <f t="shared" si="14"/>
        <v>12999.9968</v>
      </c>
      <c r="H38" s="18">
        <f t="shared" si="14"/>
        <v>10399.9968</v>
      </c>
      <c r="I38" s="18">
        <f t="shared" si="14"/>
        <v>10399.9968</v>
      </c>
      <c r="J38" s="18">
        <f t="shared" si="14"/>
        <v>10399.9968</v>
      </c>
      <c r="K38" s="18">
        <f t="shared" si="14"/>
        <v>10399.9968</v>
      </c>
      <c r="L38" s="18">
        <f t="shared" si="14"/>
        <v>10399.9968</v>
      </c>
      <c r="M38" s="18">
        <f t="shared" si="14"/>
        <v>10399.9968</v>
      </c>
      <c r="N38" s="18">
        <f t="shared" si="14"/>
        <v>10399.9968</v>
      </c>
      <c r="O38" s="18">
        <f t="shared" si="14"/>
        <v>13399.9968</v>
      </c>
      <c r="P38" s="19"/>
      <c r="Q38" s="18">
        <f>Q19-Q27-Q36</f>
        <v>126575.9648</v>
      </c>
      <c r="S38" s="7"/>
      <c r="T38" s="7"/>
      <c r="U38" s="7"/>
      <c r="V38" s="7"/>
    </row>
    <row r="39" ht="19.5" customHeight="1">
      <c r="A39" s="7"/>
      <c r="B39" s="12"/>
      <c r="C39" s="19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9"/>
      <c r="Q39" s="13"/>
      <c r="S39" s="7"/>
      <c r="T39" s="7"/>
      <c r="U39" s="7"/>
      <c r="V39" s="7"/>
    </row>
    <row r="40" ht="31.5" customHeight="1">
      <c r="A40" s="7"/>
      <c r="B40" s="24" t="s">
        <v>42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P40" s="19"/>
      <c r="Q40" s="39"/>
      <c r="S40" s="7"/>
      <c r="T40" s="7"/>
      <c r="U40" s="7"/>
      <c r="V40" s="7"/>
    </row>
    <row r="41" ht="19.5" hidden="1" customHeight="1">
      <c r="A41" s="7"/>
      <c r="B41" s="40" t="s">
        <v>43</v>
      </c>
      <c r="C41" s="25" t="s">
        <v>6</v>
      </c>
      <c r="D41" s="41" t="s">
        <v>7</v>
      </c>
      <c r="E41" s="41" t="s">
        <v>8</v>
      </c>
      <c r="F41" s="41" t="s">
        <v>9</v>
      </c>
      <c r="G41" s="41" t="s">
        <v>10</v>
      </c>
      <c r="H41" s="41" t="s">
        <v>11</v>
      </c>
      <c r="I41" s="41" t="s">
        <v>12</v>
      </c>
      <c r="J41" s="41" t="s">
        <v>13</v>
      </c>
      <c r="K41" s="41" t="s">
        <v>14</v>
      </c>
      <c r="L41" s="41" t="s">
        <v>15</v>
      </c>
      <c r="M41" s="41" t="s">
        <v>16</v>
      </c>
      <c r="N41" s="41" t="s">
        <v>17</v>
      </c>
      <c r="O41" s="41" t="s">
        <v>18</v>
      </c>
      <c r="P41" s="19"/>
      <c r="Q41" s="25" t="s">
        <v>19</v>
      </c>
      <c r="S41" s="7"/>
      <c r="T41" s="7"/>
      <c r="U41" s="7"/>
      <c r="V41" s="7"/>
    </row>
    <row r="42" ht="19.5" hidden="1" customHeight="1">
      <c r="A42" s="7"/>
      <c r="B42" s="31" t="s">
        <v>44</v>
      </c>
      <c r="C42" s="27"/>
      <c r="D42" s="28">
        <v>0.0</v>
      </c>
      <c r="E42" s="28">
        <v>0.0</v>
      </c>
      <c r="F42" s="28">
        <v>0.0</v>
      </c>
      <c r="G42" s="29">
        <v>0.0</v>
      </c>
      <c r="H42" s="29">
        <v>0.0</v>
      </c>
      <c r="I42" s="29">
        <v>0.0</v>
      </c>
      <c r="J42" s="29">
        <v>0.0</v>
      </c>
      <c r="K42" s="29">
        <v>0.0</v>
      </c>
      <c r="L42" s="29">
        <v>0.0</v>
      </c>
      <c r="M42" s="29">
        <v>0.0</v>
      </c>
      <c r="N42" s="29">
        <v>0.0</v>
      </c>
      <c r="O42" s="29">
        <v>0.0</v>
      </c>
      <c r="P42" s="42"/>
      <c r="Q42" s="29">
        <f t="shared" ref="Q42:Q50" si="15">SUM(D42:O42)</f>
        <v>0</v>
      </c>
      <c r="R42" s="7"/>
      <c r="S42" s="7"/>
      <c r="T42" s="7"/>
      <c r="U42" s="7"/>
      <c r="V42" s="7"/>
      <c r="W42" s="7"/>
      <c r="X42" s="7"/>
    </row>
    <row r="43" ht="19.5" hidden="1" customHeight="1">
      <c r="A43" s="43"/>
      <c r="B43" s="31" t="s">
        <v>45</v>
      </c>
      <c r="C43" s="27"/>
      <c r="D43" s="29">
        <v>0.0</v>
      </c>
      <c r="E43" s="29">
        <v>0.0</v>
      </c>
      <c r="F43" s="29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19"/>
      <c r="Q43" s="29">
        <f t="shared" si="15"/>
        <v>0</v>
      </c>
      <c r="S43" s="43"/>
      <c r="T43" s="43"/>
      <c r="U43" s="43"/>
      <c r="V43" s="43"/>
      <c r="W43" s="43"/>
      <c r="X43" s="43"/>
      <c r="Y43" s="43"/>
      <c r="Z43" s="43"/>
    </row>
    <row r="44" ht="19.5" hidden="1" customHeight="1">
      <c r="A44" s="7"/>
      <c r="B44" s="31" t="s">
        <v>46</v>
      </c>
      <c r="C44" s="27"/>
      <c r="D44" s="28">
        <v>0.0</v>
      </c>
      <c r="E44" s="28">
        <v>0.0</v>
      </c>
      <c r="F44" s="28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42"/>
      <c r="Q44" s="29">
        <f t="shared" si="15"/>
        <v>0</v>
      </c>
      <c r="R44" s="7"/>
      <c r="S44" s="7"/>
      <c r="T44" s="7"/>
      <c r="U44" s="7"/>
      <c r="V44" s="7"/>
      <c r="W44" s="7"/>
      <c r="X44" s="7"/>
    </row>
    <row r="45" ht="19.5" hidden="1" customHeight="1">
      <c r="A45" s="7"/>
      <c r="B45" s="31" t="s">
        <v>47</v>
      </c>
      <c r="C45" s="27"/>
      <c r="D45" s="29">
        <v>0.0</v>
      </c>
      <c r="E45" s="29">
        <v>0.0</v>
      </c>
      <c r="F45" s="29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19"/>
      <c r="Q45" s="29">
        <f t="shared" si="15"/>
        <v>0</v>
      </c>
      <c r="S45" s="7"/>
      <c r="T45" s="7"/>
      <c r="U45" s="7"/>
      <c r="V45" s="7"/>
      <c r="W45" s="7"/>
      <c r="X45" s="7"/>
    </row>
    <row r="46" ht="19.5" hidden="1" customHeight="1">
      <c r="A46" s="7"/>
      <c r="B46" s="31" t="s">
        <v>48</v>
      </c>
      <c r="C46" s="27"/>
      <c r="D46" s="29">
        <v>0.0</v>
      </c>
      <c r="E46" s="29">
        <v>0.0</v>
      </c>
      <c r="F46" s="29">
        <v>0.0</v>
      </c>
      <c r="G46" s="29">
        <v>0.0</v>
      </c>
      <c r="H46" s="29">
        <v>0.0</v>
      </c>
      <c r="I46" s="29">
        <v>0.0</v>
      </c>
      <c r="J46" s="29">
        <v>0.0</v>
      </c>
      <c r="K46" s="29">
        <v>0.0</v>
      </c>
      <c r="L46" s="29">
        <v>0.0</v>
      </c>
      <c r="M46" s="29">
        <v>0.0</v>
      </c>
      <c r="N46" s="29">
        <v>0.0</v>
      </c>
      <c r="O46" s="29">
        <v>0.0</v>
      </c>
      <c r="P46" s="19"/>
      <c r="Q46" s="29">
        <f t="shared" si="15"/>
        <v>0</v>
      </c>
      <c r="S46" s="7"/>
      <c r="T46" s="7"/>
      <c r="U46" s="7"/>
      <c r="V46" s="7"/>
      <c r="W46" s="7"/>
      <c r="X46" s="7"/>
    </row>
    <row r="47" ht="19.5" hidden="1" customHeight="1">
      <c r="A47" s="7"/>
      <c r="B47" s="31" t="s">
        <v>49</v>
      </c>
      <c r="C47" s="27"/>
      <c r="D47" s="29">
        <v>0.0</v>
      </c>
      <c r="E47" s="29">
        <v>0.0</v>
      </c>
      <c r="F47" s="29">
        <v>0.0</v>
      </c>
      <c r="G47" s="29">
        <v>0.0</v>
      </c>
      <c r="H47" s="29">
        <v>0.0</v>
      </c>
      <c r="I47" s="29">
        <v>0.0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9">
        <v>0.0</v>
      </c>
      <c r="P47" s="42"/>
      <c r="Q47" s="29">
        <f t="shared" si="15"/>
        <v>0</v>
      </c>
      <c r="R47" s="7"/>
      <c r="S47" s="7"/>
      <c r="T47" s="7"/>
      <c r="U47" s="7"/>
      <c r="V47" s="7"/>
      <c r="W47" s="7"/>
      <c r="X47" s="7"/>
    </row>
    <row r="48" ht="19.5" hidden="1" customHeight="1">
      <c r="A48" s="43"/>
      <c r="B48" s="31" t="s">
        <v>50</v>
      </c>
      <c r="C48" s="27"/>
      <c r="D48" s="29">
        <v>0.0</v>
      </c>
      <c r="E48" s="29">
        <v>0.0</v>
      </c>
      <c r="F48" s="29">
        <v>0.0</v>
      </c>
      <c r="G48" s="29">
        <v>0.0</v>
      </c>
      <c r="H48" s="29">
        <v>0.0</v>
      </c>
      <c r="I48" s="29">
        <v>0.0</v>
      </c>
      <c r="J48" s="29">
        <v>0.0</v>
      </c>
      <c r="K48" s="29">
        <v>0.0</v>
      </c>
      <c r="L48" s="29">
        <v>0.0</v>
      </c>
      <c r="M48" s="29">
        <v>0.0</v>
      </c>
      <c r="N48" s="29">
        <v>0.0</v>
      </c>
      <c r="O48" s="29">
        <v>0.0</v>
      </c>
      <c r="P48" s="19"/>
      <c r="Q48" s="29">
        <f t="shared" si="15"/>
        <v>0</v>
      </c>
      <c r="S48" s="43"/>
      <c r="T48" s="43"/>
      <c r="U48" s="43"/>
      <c r="V48" s="43"/>
      <c r="W48" s="43"/>
      <c r="X48" s="43"/>
      <c r="Y48" s="43"/>
      <c r="Z48" s="43"/>
    </row>
    <row r="49" ht="19.5" hidden="1" customHeight="1">
      <c r="A49" s="7"/>
      <c r="B49" s="31" t="s">
        <v>51</v>
      </c>
      <c r="C49" s="27"/>
      <c r="D49" s="29">
        <v>0.0</v>
      </c>
      <c r="E49" s="28">
        <v>0.0</v>
      </c>
      <c r="F49" s="29">
        <v>0.0</v>
      </c>
      <c r="G49" s="29">
        <v>0.0</v>
      </c>
      <c r="H49" s="29">
        <v>0.0</v>
      </c>
      <c r="I49" s="29">
        <v>0.0</v>
      </c>
      <c r="J49" s="29">
        <v>0.0</v>
      </c>
      <c r="K49" s="29">
        <v>0.0</v>
      </c>
      <c r="L49" s="29">
        <v>0.0</v>
      </c>
      <c r="M49" s="29">
        <v>0.0</v>
      </c>
      <c r="N49" s="29">
        <v>0.0</v>
      </c>
      <c r="O49" s="29">
        <v>0.0</v>
      </c>
      <c r="P49" s="42"/>
      <c r="Q49" s="29">
        <f t="shared" si="15"/>
        <v>0</v>
      </c>
      <c r="R49" s="7"/>
      <c r="S49" s="7"/>
      <c r="T49" s="7"/>
      <c r="U49" s="7"/>
      <c r="V49" s="7"/>
      <c r="W49" s="7"/>
      <c r="X49" s="7"/>
    </row>
    <row r="50" ht="19.5" hidden="1" customHeight="1">
      <c r="A50" s="7"/>
      <c r="B50" s="31" t="s">
        <v>29</v>
      </c>
      <c r="C50" s="27"/>
      <c r="D50" s="29">
        <v>0.0</v>
      </c>
      <c r="E50" s="29">
        <v>0.0</v>
      </c>
      <c r="F50" s="29">
        <v>0.0</v>
      </c>
      <c r="G50" s="29">
        <v>0.0</v>
      </c>
      <c r="H50" s="29">
        <v>0.0</v>
      </c>
      <c r="I50" s="29">
        <v>0.0</v>
      </c>
      <c r="J50" s="29">
        <v>0.0</v>
      </c>
      <c r="K50" s="29">
        <v>0.0</v>
      </c>
      <c r="L50" s="29">
        <v>0.0</v>
      </c>
      <c r="M50" s="29">
        <v>0.0</v>
      </c>
      <c r="N50" s="29">
        <v>0.0</v>
      </c>
      <c r="O50" s="29">
        <v>0.0</v>
      </c>
      <c r="P50" s="19"/>
      <c r="Q50" s="29">
        <f t="shared" si="15"/>
        <v>0</v>
      </c>
      <c r="S50" s="7"/>
      <c r="T50" s="7"/>
      <c r="U50" s="7"/>
      <c r="V50" s="7"/>
      <c r="W50" s="7"/>
      <c r="X50" s="7"/>
    </row>
    <row r="51" ht="19.5" hidden="1" customHeight="1">
      <c r="A51" s="7"/>
      <c r="B51" s="16" t="s">
        <v>52</v>
      </c>
      <c r="C51" s="17"/>
      <c r="D51" s="18">
        <f t="shared" ref="D51:O51" si="16">SUM(D42:D50)</f>
        <v>0</v>
      </c>
      <c r="E51" s="18">
        <f t="shared" si="16"/>
        <v>0</v>
      </c>
      <c r="F51" s="18">
        <f t="shared" si="16"/>
        <v>0</v>
      </c>
      <c r="G51" s="18">
        <f t="shared" si="16"/>
        <v>0</v>
      </c>
      <c r="H51" s="18">
        <f t="shared" si="16"/>
        <v>0</v>
      </c>
      <c r="I51" s="18">
        <f t="shared" si="16"/>
        <v>0</v>
      </c>
      <c r="J51" s="18">
        <f t="shared" si="16"/>
        <v>0</v>
      </c>
      <c r="K51" s="18">
        <f t="shared" si="16"/>
        <v>0</v>
      </c>
      <c r="L51" s="18">
        <f t="shared" si="16"/>
        <v>0</v>
      </c>
      <c r="M51" s="18">
        <f t="shared" si="16"/>
        <v>0</v>
      </c>
      <c r="N51" s="18">
        <f t="shared" si="16"/>
        <v>0</v>
      </c>
      <c r="O51" s="18">
        <f t="shared" si="16"/>
        <v>0</v>
      </c>
      <c r="P51" s="42"/>
      <c r="Q51" s="18">
        <f>SUM(Q42:Q50)</f>
        <v>0</v>
      </c>
      <c r="R51" s="7"/>
      <c r="S51" s="7"/>
      <c r="T51" s="7"/>
      <c r="U51" s="7"/>
      <c r="V51" s="7"/>
      <c r="W51" s="7"/>
      <c r="X51" s="7"/>
    </row>
    <row r="52" ht="19.5" hidden="1" customHeight="1">
      <c r="A52" s="7"/>
      <c r="B52" s="44"/>
      <c r="C52" s="7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7"/>
      <c r="Q52" s="44"/>
      <c r="R52" s="7"/>
      <c r="S52" s="7"/>
      <c r="T52" s="7"/>
      <c r="U52" s="7"/>
      <c r="V52" s="7"/>
      <c r="W52" s="7"/>
      <c r="X52" s="7"/>
    </row>
    <row r="53" ht="19.5" hidden="1" customHeight="1">
      <c r="A53" s="7"/>
      <c r="B53" s="45" t="s">
        <v>53</v>
      </c>
      <c r="C53" s="25" t="s">
        <v>6</v>
      </c>
      <c r="D53" s="25" t="s">
        <v>7</v>
      </c>
      <c r="E53" s="25" t="s">
        <v>8</v>
      </c>
      <c r="F53" s="25" t="s">
        <v>9</v>
      </c>
      <c r="G53" s="25" t="s">
        <v>10</v>
      </c>
      <c r="H53" s="25" t="s">
        <v>11</v>
      </c>
      <c r="I53" s="25" t="s">
        <v>12</v>
      </c>
      <c r="J53" s="25" t="s">
        <v>13</v>
      </c>
      <c r="K53" s="25" t="s">
        <v>14</v>
      </c>
      <c r="L53" s="25" t="s">
        <v>15</v>
      </c>
      <c r="M53" s="25" t="s">
        <v>16</v>
      </c>
      <c r="N53" s="25" t="s">
        <v>17</v>
      </c>
      <c r="O53" s="25" t="s">
        <v>18</v>
      </c>
      <c r="P53" s="7"/>
      <c r="Q53" s="25" t="s">
        <v>19</v>
      </c>
      <c r="R53" s="7"/>
      <c r="S53" s="7"/>
      <c r="T53" s="7"/>
      <c r="U53" s="7"/>
      <c r="V53" s="7"/>
      <c r="W53" s="7"/>
      <c r="X53" s="7"/>
    </row>
    <row r="54" ht="19.5" hidden="1" customHeight="1">
      <c r="A54" s="7"/>
      <c r="B54" s="31" t="s">
        <v>54</v>
      </c>
      <c r="C54" s="27"/>
      <c r="D54" s="29">
        <v>0.0</v>
      </c>
      <c r="E54" s="28">
        <v>0.0</v>
      </c>
      <c r="F54" s="29">
        <v>0.0</v>
      </c>
      <c r="G54" s="29">
        <v>0.0</v>
      </c>
      <c r="H54" s="29">
        <v>0.0</v>
      </c>
      <c r="I54" s="29">
        <v>0.0</v>
      </c>
      <c r="J54" s="29">
        <v>0.0</v>
      </c>
      <c r="K54" s="29">
        <v>0.0</v>
      </c>
      <c r="L54" s="29">
        <v>0.0</v>
      </c>
      <c r="M54" s="29">
        <v>0.0</v>
      </c>
      <c r="N54" s="29">
        <v>0.0</v>
      </c>
      <c r="O54" s="29">
        <v>0.0</v>
      </c>
      <c r="P54" s="7"/>
      <c r="Q54" s="29">
        <f t="shared" ref="Q54:Q58" si="17">SUM(D54:O54)</f>
        <v>0</v>
      </c>
      <c r="R54" s="7"/>
      <c r="S54" s="7"/>
      <c r="T54" s="7"/>
      <c r="U54" s="7"/>
      <c r="V54" s="7"/>
      <c r="W54" s="7"/>
      <c r="X54" s="7"/>
    </row>
    <row r="55" ht="19.5" hidden="1" customHeight="1">
      <c r="A55" s="7"/>
      <c r="B55" s="31" t="s">
        <v>55</v>
      </c>
      <c r="C55" s="27"/>
      <c r="D55" s="29">
        <v>0.0</v>
      </c>
      <c r="E55" s="29">
        <v>0.0</v>
      </c>
      <c r="F55" s="29">
        <v>0.0</v>
      </c>
      <c r="G55" s="29">
        <v>0.0</v>
      </c>
      <c r="H55" s="29">
        <v>0.0</v>
      </c>
      <c r="I55" s="29">
        <v>0.0</v>
      </c>
      <c r="J55" s="29">
        <v>0.0</v>
      </c>
      <c r="K55" s="29">
        <v>0.0</v>
      </c>
      <c r="L55" s="29">
        <v>0.0</v>
      </c>
      <c r="M55" s="29">
        <v>0.0</v>
      </c>
      <c r="N55" s="29">
        <v>0.0</v>
      </c>
      <c r="O55" s="29">
        <v>0.0</v>
      </c>
      <c r="P55" s="7"/>
      <c r="Q55" s="29">
        <f t="shared" si="17"/>
        <v>0</v>
      </c>
      <c r="R55" s="7"/>
      <c r="S55" s="7"/>
      <c r="T55" s="7"/>
      <c r="U55" s="7"/>
      <c r="V55" s="7"/>
      <c r="W55" s="7"/>
      <c r="X55" s="7"/>
    </row>
    <row r="56" ht="19.5" hidden="1" customHeight="1">
      <c r="A56" s="7"/>
      <c r="B56" s="31" t="s">
        <v>56</v>
      </c>
      <c r="C56" s="27"/>
      <c r="D56" s="29">
        <v>0.0</v>
      </c>
      <c r="E56" s="29">
        <v>0.0</v>
      </c>
      <c r="F56" s="29">
        <v>0.0</v>
      </c>
      <c r="G56" s="29">
        <v>0.0</v>
      </c>
      <c r="H56" s="29">
        <v>0.0</v>
      </c>
      <c r="I56" s="29">
        <v>0.0</v>
      </c>
      <c r="J56" s="29">
        <v>0.0</v>
      </c>
      <c r="K56" s="29">
        <v>0.0</v>
      </c>
      <c r="L56" s="29">
        <v>0.0</v>
      </c>
      <c r="M56" s="29">
        <v>0.0</v>
      </c>
      <c r="N56" s="29">
        <v>0.0</v>
      </c>
      <c r="O56" s="29">
        <v>0.0</v>
      </c>
      <c r="P56" s="7"/>
      <c r="Q56" s="29">
        <f t="shared" si="17"/>
        <v>0</v>
      </c>
      <c r="R56" s="7"/>
      <c r="S56" s="7"/>
      <c r="T56" s="7"/>
      <c r="U56" s="7"/>
      <c r="V56" s="7"/>
      <c r="W56" s="7"/>
      <c r="X56" s="7"/>
    </row>
    <row r="57" ht="19.5" hidden="1" customHeight="1">
      <c r="A57" s="7"/>
      <c r="B57" s="31" t="s">
        <v>29</v>
      </c>
      <c r="C57" s="27"/>
      <c r="D57" s="29">
        <v>0.0</v>
      </c>
      <c r="E57" s="29">
        <v>0.0</v>
      </c>
      <c r="F57" s="29">
        <v>0.0</v>
      </c>
      <c r="G57" s="29">
        <v>0.0</v>
      </c>
      <c r="H57" s="29">
        <v>0.0</v>
      </c>
      <c r="I57" s="29">
        <v>0.0</v>
      </c>
      <c r="J57" s="29">
        <v>0.0</v>
      </c>
      <c r="K57" s="29">
        <v>0.0</v>
      </c>
      <c r="L57" s="29">
        <v>0.0</v>
      </c>
      <c r="M57" s="29">
        <v>0.0</v>
      </c>
      <c r="N57" s="29">
        <v>0.0</v>
      </c>
      <c r="O57" s="29">
        <v>0.0</v>
      </c>
      <c r="P57" s="7"/>
      <c r="Q57" s="29">
        <f t="shared" si="17"/>
        <v>0</v>
      </c>
      <c r="R57" s="7"/>
      <c r="S57" s="7"/>
      <c r="T57" s="7"/>
      <c r="U57" s="7"/>
      <c r="V57" s="7"/>
      <c r="W57" s="7"/>
      <c r="X57" s="7"/>
    </row>
    <row r="58" ht="19.5" hidden="1" customHeight="1">
      <c r="A58" s="7"/>
      <c r="B58" s="31" t="s">
        <v>29</v>
      </c>
      <c r="C58" s="27"/>
      <c r="D58" s="29">
        <v>0.0</v>
      </c>
      <c r="E58" s="29">
        <v>0.0</v>
      </c>
      <c r="F58" s="29">
        <v>0.0</v>
      </c>
      <c r="G58" s="29">
        <v>0.0</v>
      </c>
      <c r="H58" s="29">
        <v>0.0</v>
      </c>
      <c r="I58" s="29">
        <v>0.0</v>
      </c>
      <c r="J58" s="29">
        <v>0.0</v>
      </c>
      <c r="K58" s="29">
        <v>0.0</v>
      </c>
      <c r="L58" s="29">
        <v>0.0</v>
      </c>
      <c r="M58" s="29">
        <v>0.0</v>
      </c>
      <c r="N58" s="29">
        <v>0.0</v>
      </c>
      <c r="O58" s="29">
        <v>0.0</v>
      </c>
      <c r="P58" s="7"/>
      <c r="Q58" s="29">
        <f t="shared" si="17"/>
        <v>0</v>
      </c>
      <c r="R58" s="7"/>
      <c r="S58" s="7"/>
      <c r="T58" s="7"/>
      <c r="U58" s="7"/>
      <c r="V58" s="7"/>
      <c r="W58" s="7"/>
      <c r="X58" s="7"/>
    </row>
    <row r="59" ht="19.5" hidden="1" customHeight="1">
      <c r="A59" s="7"/>
      <c r="B59" s="16" t="s">
        <v>57</v>
      </c>
      <c r="C59" s="17"/>
      <c r="D59" s="18">
        <f t="shared" ref="D59:O59" si="18">SUM(D54:D58)</f>
        <v>0</v>
      </c>
      <c r="E59" s="18">
        <f t="shared" si="18"/>
        <v>0</v>
      </c>
      <c r="F59" s="18">
        <f t="shared" si="18"/>
        <v>0</v>
      </c>
      <c r="G59" s="18">
        <f t="shared" si="18"/>
        <v>0</v>
      </c>
      <c r="H59" s="18">
        <f t="shared" si="18"/>
        <v>0</v>
      </c>
      <c r="I59" s="18">
        <f t="shared" si="18"/>
        <v>0</v>
      </c>
      <c r="J59" s="18">
        <f t="shared" si="18"/>
        <v>0</v>
      </c>
      <c r="K59" s="18">
        <f t="shared" si="18"/>
        <v>0</v>
      </c>
      <c r="L59" s="18">
        <f t="shared" si="18"/>
        <v>0</v>
      </c>
      <c r="M59" s="18">
        <f t="shared" si="18"/>
        <v>0</v>
      </c>
      <c r="N59" s="18">
        <f t="shared" si="18"/>
        <v>0</v>
      </c>
      <c r="O59" s="18">
        <f t="shared" si="18"/>
        <v>0</v>
      </c>
      <c r="P59" s="7"/>
      <c r="Q59" s="18">
        <f>SUM(Q54:Q58)</f>
        <v>0</v>
      </c>
      <c r="R59" s="7"/>
      <c r="S59" s="7"/>
      <c r="T59" s="7"/>
      <c r="U59" s="7"/>
      <c r="V59" s="7"/>
      <c r="W59" s="7"/>
      <c r="X59" s="7"/>
    </row>
    <row r="60" ht="19.5" hidden="1" customHeight="1">
      <c r="A60" s="7"/>
      <c r="B60" s="44"/>
      <c r="C60" s="7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7"/>
      <c r="Q60" s="44"/>
      <c r="R60" s="7"/>
      <c r="S60" s="7"/>
      <c r="T60" s="7"/>
      <c r="U60" s="7"/>
      <c r="V60" s="7"/>
      <c r="W60" s="7"/>
      <c r="X60" s="7"/>
    </row>
    <row r="61" ht="19.5" customHeight="1">
      <c r="A61" s="7"/>
      <c r="B61" s="46" t="s">
        <v>58</v>
      </c>
      <c r="C61" s="25" t="s">
        <v>6</v>
      </c>
      <c r="D61" s="25" t="s">
        <v>7</v>
      </c>
      <c r="E61" s="25" t="s">
        <v>8</v>
      </c>
      <c r="F61" s="25" t="s">
        <v>9</v>
      </c>
      <c r="G61" s="25" t="s">
        <v>10</v>
      </c>
      <c r="H61" s="25" t="s">
        <v>11</v>
      </c>
      <c r="I61" s="25" t="s">
        <v>12</v>
      </c>
      <c r="J61" s="25" t="s">
        <v>13</v>
      </c>
      <c r="K61" s="25" t="s">
        <v>14</v>
      </c>
      <c r="L61" s="25" t="s">
        <v>15</v>
      </c>
      <c r="M61" s="25" t="s">
        <v>16</v>
      </c>
      <c r="N61" s="25" t="s">
        <v>17</v>
      </c>
      <c r="O61" s="25" t="s">
        <v>18</v>
      </c>
      <c r="P61" s="7"/>
      <c r="Q61" s="25" t="s">
        <v>19</v>
      </c>
      <c r="R61" s="7"/>
      <c r="S61" s="7"/>
      <c r="T61" s="7"/>
      <c r="U61" s="7"/>
      <c r="V61" s="7"/>
      <c r="W61" s="7"/>
      <c r="X61" s="7"/>
    </row>
    <row r="62" ht="19.5" customHeight="1">
      <c r="A62" s="7"/>
      <c r="B62" s="26" t="s">
        <v>59</v>
      </c>
      <c r="C62" s="27"/>
      <c r="D62" s="28">
        <v>1345.0</v>
      </c>
      <c r="E62" s="28">
        <v>1345.0</v>
      </c>
      <c r="F62" s="28">
        <v>1345.0</v>
      </c>
      <c r="G62" s="28">
        <v>1345.0</v>
      </c>
      <c r="H62" s="28">
        <v>1345.0</v>
      </c>
      <c r="I62" s="28">
        <v>1345.0</v>
      </c>
      <c r="J62" s="28">
        <v>1345.0</v>
      </c>
      <c r="K62" s="28">
        <v>1345.0</v>
      </c>
      <c r="L62" s="28">
        <v>1345.0</v>
      </c>
      <c r="M62" s="28">
        <v>1345.0</v>
      </c>
      <c r="N62" s="28">
        <v>1345.0</v>
      </c>
      <c r="O62" s="28">
        <v>1345.0</v>
      </c>
      <c r="P62" s="7"/>
      <c r="Q62" s="29">
        <f t="shared" ref="Q62:Q66" si="19">SUM(D62:O62)</f>
        <v>16140</v>
      </c>
      <c r="R62" s="7"/>
      <c r="S62" s="7"/>
      <c r="T62" s="7"/>
      <c r="U62" s="7"/>
      <c r="V62" s="7"/>
      <c r="W62" s="7"/>
      <c r="X62" s="7"/>
    </row>
    <row r="63" ht="19.5" customHeight="1">
      <c r="A63" s="7"/>
      <c r="B63" s="26" t="s">
        <v>60</v>
      </c>
      <c r="C63" s="27"/>
      <c r="D63" s="28">
        <v>435.0</v>
      </c>
      <c r="E63" s="28">
        <v>435.0</v>
      </c>
      <c r="F63" s="28">
        <v>435.0</v>
      </c>
      <c r="G63" s="28">
        <v>435.0</v>
      </c>
      <c r="H63" s="28">
        <v>435.0</v>
      </c>
      <c r="I63" s="28">
        <v>435.0</v>
      </c>
      <c r="J63" s="28">
        <v>435.0</v>
      </c>
      <c r="K63" s="28">
        <v>435.0</v>
      </c>
      <c r="L63" s="28">
        <v>435.0</v>
      </c>
      <c r="M63" s="28">
        <v>435.0</v>
      </c>
      <c r="N63" s="28">
        <v>435.0</v>
      </c>
      <c r="O63" s="28">
        <v>435.0</v>
      </c>
      <c r="P63" s="7"/>
      <c r="Q63" s="29">
        <f t="shared" si="19"/>
        <v>5220</v>
      </c>
      <c r="R63" s="7"/>
      <c r="S63" s="7"/>
      <c r="T63" s="7"/>
      <c r="U63" s="7"/>
      <c r="V63" s="7"/>
      <c r="W63" s="7"/>
      <c r="X63" s="7"/>
    </row>
    <row r="64" ht="19.5" customHeight="1">
      <c r="A64" s="7"/>
      <c r="B64" s="26" t="s">
        <v>61</v>
      </c>
      <c r="C64" s="27"/>
      <c r="D64" s="28">
        <v>400.0</v>
      </c>
      <c r="E64" s="28">
        <v>400.0</v>
      </c>
      <c r="F64" s="28">
        <v>400.0</v>
      </c>
      <c r="G64" s="28">
        <v>400.0</v>
      </c>
      <c r="H64" s="28">
        <v>400.0</v>
      </c>
      <c r="I64" s="28">
        <v>400.0</v>
      </c>
      <c r="J64" s="28">
        <v>400.0</v>
      </c>
      <c r="K64" s="28">
        <v>400.0</v>
      </c>
      <c r="L64" s="28">
        <v>400.0</v>
      </c>
      <c r="M64" s="28">
        <v>400.0</v>
      </c>
      <c r="N64" s="28">
        <v>400.0</v>
      </c>
      <c r="O64" s="28">
        <v>400.0</v>
      </c>
      <c r="P64" s="7"/>
      <c r="Q64" s="29">
        <f t="shared" si="19"/>
        <v>4800</v>
      </c>
      <c r="R64" s="7"/>
      <c r="S64" s="7"/>
      <c r="T64" s="7"/>
      <c r="U64" s="7"/>
      <c r="V64" s="7"/>
      <c r="W64" s="7"/>
      <c r="X64" s="7"/>
    </row>
    <row r="65" ht="19.5" customHeight="1">
      <c r="A65" s="7"/>
      <c r="B65" s="26" t="s">
        <v>62</v>
      </c>
      <c r="C65" s="27"/>
      <c r="D65" s="28">
        <v>200.0</v>
      </c>
      <c r="E65" s="28">
        <v>200.0</v>
      </c>
      <c r="F65" s="28">
        <v>1800.0</v>
      </c>
      <c r="G65" s="28">
        <v>0.0</v>
      </c>
      <c r="H65" s="28">
        <v>0.0</v>
      </c>
      <c r="I65" s="28">
        <v>0.0</v>
      </c>
      <c r="J65" s="28">
        <v>0.0</v>
      </c>
      <c r="K65" s="28">
        <v>0.0</v>
      </c>
      <c r="L65" s="28">
        <v>0.0</v>
      </c>
      <c r="M65" s="28">
        <v>0.0</v>
      </c>
      <c r="N65" s="28">
        <v>0.0</v>
      </c>
      <c r="O65" s="28">
        <v>0.0</v>
      </c>
      <c r="P65" s="7"/>
      <c r="Q65" s="29">
        <f t="shared" si="19"/>
        <v>2200</v>
      </c>
      <c r="R65" s="7"/>
      <c r="S65" s="7"/>
      <c r="T65" s="7"/>
      <c r="U65" s="7"/>
      <c r="V65" s="7"/>
      <c r="W65" s="7"/>
      <c r="X65" s="7"/>
    </row>
    <row r="66" ht="19.5" customHeight="1">
      <c r="A66" s="7"/>
      <c r="B66" s="26" t="s">
        <v>118</v>
      </c>
      <c r="C66" s="27"/>
      <c r="D66" s="28">
        <v>0.0</v>
      </c>
      <c r="E66" s="28">
        <v>0.0</v>
      </c>
      <c r="F66" s="29">
        <v>0.0</v>
      </c>
      <c r="G66" s="29">
        <v>0.0</v>
      </c>
      <c r="H66" s="29">
        <v>0.0</v>
      </c>
      <c r="I66" s="29">
        <v>0.0</v>
      </c>
      <c r="J66" s="29">
        <v>0.0</v>
      </c>
      <c r="K66" s="28">
        <v>0.0</v>
      </c>
      <c r="L66" s="28">
        <v>0.0</v>
      </c>
      <c r="M66" s="28">
        <v>0.0</v>
      </c>
      <c r="N66" s="28">
        <v>0.0</v>
      </c>
      <c r="O66" s="28">
        <v>0.0</v>
      </c>
      <c r="P66" s="7"/>
      <c r="Q66" s="29">
        <f t="shared" si="19"/>
        <v>0</v>
      </c>
      <c r="R66" s="7"/>
      <c r="S66" s="7"/>
      <c r="T66" s="7"/>
      <c r="U66" s="7"/>
      <c r="V66" s="7"/>
      <c r="W66" s="7"/>
      <c r="X66" s="7"/>
    </row>
    <row r="67" ht="19.5" customHeight="1">
      <c r="A67" s="7"/>
      <c r="B67" s="16" t="s">
        <v>63</v>
      </c>
      <c r="C67" s="17"/>
      <c r="D67" s="18">
        <f t="shared" ref="D67:O67" si="20">SUM(D62:D66)</f>
        <v>2380</v>
      </c>
      <c r="E67" s="18">
        <f t="shared" si="20"/>
        <v>2380</v>
      </c>
      <c r="F67" s="18">
        <f t="shared" si="20"/>
        <v>3980</v>
      </c>
      <c r="G67" s="18">
        <f t="shared" si="20"/>
        <v>2180</v>
      </c>
      <c r="H67" s="18">
        <f t="shared" si="20"/>
        <v>2180</v>
      </c>
      <c r="I67" s="18">
        <f t="shared" si="20"/>
        <v>2180</v>
      </c>
      <c r="J67" s="18">
        <f t="shared" si="20"/>
        <v>2180</v>
      </c>
      <c r="K67" s="18">
        <f t="shared" si="20"/>
        <v>2180</v>
      </c>
      <c r="L67" s="18">
        <f t="shared" si="20"/>
        <v>2180</v>
      </c>
      <c r="M67" s="18">
        <f t="shared" si="20"/>
        <v>2180</v>
      </c>
      <c r="N67" s="18">
        <f t="shared" si="20"/>
        <v>2180</v>
      </c>
      <c r="O67" s="18">
        <f t="shared" si="20"/>
        <v>2180</v>
      </c>
      <c r="P67" s="7"/>
      <c r="Q67" s="18">
        <f>SUM(Q62:Q66)</f>
        <v>28360</v>
      </c>
      <c r="R67" s="7"/>
      <c r="S67" s="7"/>
      <c r="T67" s="7"/>
      <c r="U67" s="7"/>
      <c r="V67" s="7"/>
      <c r="W67" s="7"/>
      <c r="X67" s="7"/>
    </row>
    <row r="68" ht="19.5" customHeight="1">
      <c r="A68" s="7"/>
      <c r="B68" s="47"/>
      <c r="C68" s="48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7"/>
      <c r="Q68" s="44"/>
      <c r="R68" s="7"/>
      <c r="S68" s="7"/>
      <c r="T68" s="7"/>
      <c r="U68" s="7"/>
      <c r="V68" s="7"/>
      <c r="W68" s="7"/>
      <c r="X68" s="7"/>
    </row>
    <row r="69" ht="19.5" customHeight="1">
      <c r="A69" s="7"/>
      <c r="B69" s="45" t="s">
        <v>64</v>
      </c>
      <c r="C69" s="25" t="s">
        <v>6</v>
      </c>
      <c r="D69" s="25" t="s">
        <v>7</v>
      </c>
      <c r="E69" s="25" t="s">
        <v>8</v>
      </c>
      <c r="F69" s="25" t="s">
        <v>9</v>
      </c>
      <c r="G69" s="25" t="s">
        <v>10</v>
      </c>
      <c r="H69" s="25" t="s">
        <v>11</v>
      </c>
      <c r="I69" s="25" t="s">
        <v>12</v>
      </c>
      <c r="J69" s="25" t="s">
        <v>13</v>
      </c>
      <c r="K69" s="25" t="s">
        <v>14</v>
      </c>
      <c r="L69" s="25" t="s">
        <v>15</v>
      </c>
      <c r="M69" s="25" t="s">
        <v>16</v>
      </c>
      <c r="N69" s="25" t="s">
        <v>17</v>
      </c>
      <c r="O69" s="25" t="s">
        <v>18</v>
      </c>
      <c r="P69" s="7"/>
      <c r="Q69" s="25" t="s">
        <v>19</v>
      </c>
      <c r="R69" s="7"/>
      <c r="S69" s="7"/>
      <c r="T69" s="7"/>
      <c r="U69" s="7"/>
      <c r="V69" s="7"/>
      <c r="W69" s="7"/>
      <c r="X69" s="7"/>
    </row>
    <row r="70" ht="19.5" customHeight="1">
      <c r="A70" s="7"/>
      <c r="B70" s="31" t="s">
        <v>65</v>
      </c>
      <c r="C70" s="27"/>
      <c r="D70" s="28">
        <v>375.0</v>
      </c>
      <c r="E70" s="28">
        <v>375.0</v>
      </c>
      <c r="F70" s="28">
        <v>375.0</v>
      </c>
      <c r="G70" s="28">
        <v>375.0</v>
      </c>
      <c r="H70" s="28">
        <v>0.0</v>
      </c>
      <c r="I70" s="28">
        <v>0.0</v>
      </c>
      <c r="J70" s="28">
        <v>0.0</v>
      </c>
      <c r="K70" s="28">
        <v>0.0</v>
      </c>
      <c r="L70" s="28">
        <v>0.0</v>
      </c>
      <c r="M70" s="28">
        <v>0.0</v>
      </c>
      <c r="N70" s="28">
        <v>0.0</v>
      </c>
      <c r="O70" s="28">
        <v>0.0</v>
      </c>
      <c r="P70" s="7"/>
      <c r="Q70" s="29">
        <f t="shared" ref="Q70:Q80" si="21">SUM(D70:O70)</f>
        <v>1500</v>
      </c>
      <c r="R70" s="7"/>
      <c r="S70" s="7"/>
      <c r="T70" s="7"/>
      <c r="U70" s="7"/>
      <c r="V70" s="7"/>
      <c r="W70" s="7"/>
      <c r="X70" s="7"/>
    </row>
    <row r="71" ht="19.5" customHeight="1">
      <c r="A71" s="7"/>
      <c r="B71" s="26" t="s">
        <v>66</v>
      </c>
      <c r="C71" s="27"/>
      <c r="D71" s="28">
        <v>20.0</v>
      </c>
      <c r="E71" s="28">
        <v>20.0</v>
      </c>
      <c r="F71" s="28">
        <v>20.0</v>
      </c>
      <c r="G71" s="28">
        <v>20.0</v>
      </c>
      <c r="H71" s="28">
        <v>20.0</v>
      </c>
      <c r="I71" s="28">
        <v>20.0</v>
      </c>
      <c r="J71" s="28">
        <v>20.0</v>
      </c>
      <c r="K71" s="28">
        <v>20.0</v>
      </c>
      <c r="L71" s="28">
        <v>20.0</v>
      </c>
      <c r="M71" s="28">
        <v>20.0</v>
      </c>
      <c r="N71" s="28">
        <v>20.0</v>
      </c>
      <c r="O71" s="28">
        <v>20.0</v>
      </c>
      <c r="P71" s="7"/>
      <c r="Q71" s="29">
        <f t="shared" si="21"/>
        <v>240</v>
      </c>
      <c r="R71" s="7"/>
      <c r="S71" s="7"/>
      <c r="T71" s="7"/>
      <c r="U71" s="7"/>
      <c r="V71" s="7"/>
      <c r="W71" s="7"/>
      <c r="X71" s="7"/>
    </row>
    <row r="72" ht="19.5" customHeight="1">
      <c r="A72" s="7"/>
      <c r="B72" s="26" t="s">
        <v>67</v>
      </c>
      <c r="C72" s="27"/>
      <c r="D72" s="28">
        <v>12.5</v>
      </c>
      <c r="E72" s="28">
        <v>12.5</v>
      </c>
      <c r="F72" s="28">
        <v>12.5</v>
      </c>
      <c r="G72" s="28">
        <v>12.5</v>
      </c>
      <c r="H72" s="28">
        <v>12.5</v>
      </c>
      <c r="I72" s="28">
        <v>12.5</v>
      </c>
      <c r="J72" s="28">
        <v>12.5</v>
      </c>
      <c r="K72" s="28">
        <v>12.5</v>
      </c>
      <c r="L72" s="28">
        <v>12.5</v>
      </c>
      <c r="M72" s="28">
        <v>12.5</v>
      </c>
      <c r="N72" s="28">
        <v>12.5</v>
      </c>
      <c r="O72" s="28">
        <v>12.5</v>
      </c>
      <c r="P72" s="7"/>
      <c r="Q72" s="29">
        <f t="shared" si="21"/>
        <v>150</v>
      </c>
      <c r="R72" s="7"/>
      <c r="S72" s="7"/>
      <c r="T72" s="7"/>
      <c r="U72" s="7"/>
      <c r="V72" s="7"/>
      <c r="W72" s="7"/>
      <c r="X72" s="7"/>
    </row>
    <row r="73" ht="19.5" customHeight="1">
      <c r="A73" s="7"/>
      <c r="B73" s="31" t="s">
        <v>68</v>
      </c>
      <c r="C73" s="27"/>
      <c r="D73" s="28">
        <v>0.0</v>
      </c>
      <c r="E73" s="28">
        <v>100.0</v>
      </c>
      <c r="F73" s="28">
        <v>100.0</v>
      </c>
      <c r="G73" s="28">
        <v>100.0</v>
      </c>
      <c r="H73" s="28">
        <v>100.0</v>
      </c>
      <c r="I73" s="28">
        <v>100.0</v>
      </c>
      <c r="J73" s="28">
        <v>100.0</v>
      </c>
      <c r="K73" s="28">
        <v>100.0</v>
      </c>
      <c r="L73" s="28">
        <v>100.0</v>
      </c>
      <c r="M73" s="28">
        <v>100.0</v>
      </c>
      <c r="N73" s="28">
        <v>100.0</v>
      </c>
      <c r="O73" s="28">
        <v>100.0</v>
      </c>
      <c r="P73" s="7"/>
      <c r="Q73" s="29">
        <f t="shared" si="21"/>
        <v>1100</v>
      </c>
      <c r="R73" s="7"/>
      <c r="S73" s="7"/>
      <c r="T73" s="7"/>
      <c r="U73" s="7"/>
      <c r="V73" s="7"/>
      <c r="W73" s="7"/>
      <c r="X73" s="7"/>
    </row>
    <row r="74" ht="19.5" customHeight="1">
      <c r="A74" s="7"/>
      <c r="B74" s="31" t="s">
        <v>69</v>
      </c>
      <c r="C74" s="27"/>
      <c r="D74" s="28">
        <v>125.0</v>
      </c>
      <c r="E74" s="28">
        <v>150.0</v>
      </c>
      <c r="F74" s="28">
        <v>250.0</v>
      </c>
      <c r="G74" s="28">
        <v>80.0</v>
      </c>
      <c r="H74" s="28">
        <v>80.0</v>
      </c>
      <c r="I74" s="28">
        <v>80.0</v>
      </c>
      <c r="J74" s="28">
        <v>80.0</v>
      </c>
      <c r="K74" s="28">
        <v>80.0</v>
      </c>
      <c r="L74" s="28">
        <v>80.0</v>
      </c>
      <c r="M74" s="28">
        <v>80.0</v>
      </c>
      <c r="N74" s="28">
        <v>80.0</v>
      </c>
      <c r="O74" s="28">
        <v>80.0</v>
      </c>
      <c r="P74" s="7"/>
      <c r="Q74" s="29">
        <f t="shared" si="21"/>
        <v>1245</v>
      </c>
      <c r="R74" s="7"/>
      <c r="S74" s="7"/>
      <c r="T74" s="7"/>
      <c r="U74" s="7"/>
      <c r="V74" s="7"/>
      <c r="W74" s="7"/>
      <c r="X74" s="7"/>
    </row>
    <row r="75" ht="19.5" customHeight="1">
      <c r="A75" s="7"/>
      <c r="B75" s="31" t="s">
        <v>70</v>
      </c>
      <c r="C75" s="27"/>
      <c r="D75" s="28">
        <v>50.0</v>
      </c>
      <c r="E75" s="28">
        <v>50.0</v>
      </c>
      <c r="F75" s="28">
        <v>50.0</v>
      </c>
      <c r="G75" s="28">
        <v>50.0</v>
      </c>
      <c r="H75" s="28">
        <v>50.0</v>
      </c>
      <c r="I75" s="28">
        <v>50.0</v>
      </c>
      <c r="J75" s="28">
        <v>50.0</v>
      </c>
      <c r="K75" s="28">
        <v>50.0</v>
      </c>
      <c r="L75" s="28">
        <v>50.0</v>
      </c>
      <c r="M75" s="28">
        <v>50.0</v>
      </c>
      <c r="N75" s="28">
        <v>50.0</v>
      </c>
      <c r="O75" s="28">
        <v>50.0</v>
      </c>
      <c r="P75" s="7"/>
      <c r="Q75" s="29">
        <f t="shared" si="21"/>
        <v>600</v>
      </c>
      <c r="R75" s="7"/>
      <c r="S75" s="7"/>
      <c r="T75" s="7"/>
      <c r="U75" s="7"/>
      <c r="V75" s="7"/>
      <c r="W75" s="7"/>
      <c r="X75" s="7"/>
    </row>
    <row r="76" ht="19.5" customHeight="1">
      <c r="A76" s="7"/>
      <c r="B76" s="31" t="s">
        <v>71</v>
      </c>
      <c r="C76" s="27"/>
      <c r="D76" s="28">
        <v>20.0</v>
      </c>
      <c r="E76" s="28">
        <v>200.0</v>
      </c>
      <c r="F76" s="28">
        <v>60.0</v>
      </c>
      <c r="G76" s="28">
        <v>60.0</v>
      </c>
      <c r="H76" s="28">
        <v>60.0</v>
      </c>
      <c r="I76" s="28">
        <v>60.0</v>
      </c>
      <c r="J76" s="28">
        <v>60.0</v>
      </c>
      <c r="K76" s="28">
        <v>60.0</v>
      </c>
      <c r="L76" s="28">
        <v>60.0</v>
      </c>
      <c r="M76" s="28">
        <v>60.0</v>
      </c>
      <c r="N76" s="28">
        <v>60.0</v>
      </c>
      <c r="O76" s="28">
        <v>60.0</v>
      </c>
      <c r="P76" s="7"/>
      <c r="Q76" s="29">
        <f t="shared" si="21"/>
        <v>820</v>
      </c>
      <c r="R76" s="7"/>
      <c r="S76" s="7"/>
      <c r="T76" s="7"/>
      <c r="U76" s="7"/>
      <c r="V76" s="7"/>
      <c r="W76" s="7"/>
      <c r="X76" s="7"/>
    </row>
    <row r="77" ht="19.5" customHeight="1">
      <c r="A77" s="7"/>
      <c r="B77" s="31" t="s">
        <v>72</v>
      </c>
      <c r="C77" s="27"/>
      <c r="D77" s="28">
        <v>750.0</v>
      </c>
      <c r="E77" s="29">
        <v>0.0</v>
      </c>
      <c r="F77" s="29">
        <v>0.0</v>
      </c>
      <c r="G77" s="28">
        <v>250.0</v>
      </c>
      <c r="H77" s="29">
        <v>0.0</v>
      </c>
      <c r="I77" s="29">
        <v>0.0</v>
      </c>
      <c r="J77" s="29">
        <v>0.0</v>
      </c>
      <c r="K77" s="28">
        <v>250.0</v>
      </c>
      <c r="L77" s="29">
        <v>0.0</v>
      </c>
      <c r="M77" s="29">
        <v>0.0</v>
      </c>
      <c r="N77" s="28">
        <v>250.0</v>
      </c>
      <c r="O77" s="28">
        <v>250.0</v>
      </c>
      <c r="P77" s="7"/>
      <c r="Q77" s="29">
        <f t="shared" si="21"/>
        <v>1750</v>
      </c>
      <c r="R77" s="7"/>
      <c r="S77" s="7"/>
      <c r="T77" s="7"/>
      <c r="U77" s="7"/>
      <c r="V77" s="7"/>
      <c r="W77" s="7"/>
      <c r="X77" s="7"/>
    </row>
    <row r="78" ht="19.5" customHeight="1">
      <c r="A78" s="7"/>
      <c r="B78" s="26" t="s">
        <v>73</v>
      </c>
      <c r="C78" s="27"/>
      <c r="D78" s="28">
        <v>250.0</v>
      </c>
      <c r="E78" s="28">
        <v>500.0</v>
      </c>
      <c r="F78" s="28">
        <v>500.0</v>
      </c>
      <c r="G78" s="28">
        <v>500.0</v>
      </c>
      <c r="H78" s="28">
        <v>500.0</v>
      </c>
      <c r="I78" s="28">
        <v>500.0</v>
      </c>
      <c r="J78" s="28">
        <v>500.0</v>
      </c>
      <c r="K78" s="28">
        <v>500.0</v>
      </c>
      <c r="L78" s="28">
        <v>500.0</v>
      </c>
      <c r="M78" s="28">
        <v>500.0</v>
      </c>
      <c r="N78" s="28">
        <v>500.0</v>
      </c>
      <c r="O78" s="28">
        <v>500.0</v>
      </c>
      <c r="P78" s="7"/>
      <c r="Q78" s="29">
        <f t="shared" si="21"/>
        <v>5750</v>
      </c>
      <c r="R78" s="7"/>
      <c r="S78" s="7"/>
      <c r="T78" s="7"/>
      <c r="U78" s="7"/>
      <c r="V78" s="7"/>
      <c r="W78" s="7"/>
      <c r="X78" s="7"/>
    </row>
    <row r="79" ht="19.5" customHeight="1">
      <c r="A79" s="7"/>
      <c r="B79" s="26" t="s">
        <v>74</v>
      </c>
      <c r="C79" s="27"/>
      <c r="D79" s="28">
        <v>50.0</v>
      </c>
      <c r="E79" s="28">
        <v>100.0</v>
      </c>
      <c r="F79" s="28">
        <v>100.0</v>
      </c>
      <c r="G79" s="28">
        <v>100.0</v>
      </c>
      <c r="H79" s="28">
        <v>100.0</v>
      </c>
      <c r="I79" s="28">
        <v>100.0</v>
      </c>
      <c r="J79" s="28">
        <v>100.0</v>
      </c>
      <c r="K79" s="28">
        <v>100.0</v>
      </c>
      <c r="L79" s="28">
        <v>100.0</v>
      </c>
      <c r="M79" s="28">
        <v>100.0</v>
      </c>
      <c r="N79" s="28">
        <v>100.0</v>
      </c>
      <c r="O79" s="28">
        <v>100.0</v>
      </c>
      <c r="P79" s="7"/>
      <c r="Q79" s="29">
        <f t="shared" si="21"/>
        <v>1150</v>
      </c>
      <c r="R79" s="7"/>
      <c r="S79" s="7"/>
      <c r="T79" s="7"/>
      <c r="U79" s="7"/>
      <c r="V79" s="7"/>
      <c r="W79" s="7"/>
      <c r="X79" s="7"/>
    </row>
    <row r="80" ht="19.5" customHeight="1">
      <c r="A80" s="7"/>
      <c r="B80" s="31" t="s">
        <v>29</v>
      </c>
      <c r="C80" s="27"/>
      <c r="D80" s="28">
        <f>25+25+400+75</f>
        <v>525</v>
      </c>
      <c r="E80" s="28">
        <v>500.0</v>
      </c>
      <c r="F80" s="28">
        <v>250.0</v>
      </c>
      <c r="G80" s="29">
        <v>0.0</v>
      </c>
      <c r="H80" s="29">
        <v>0.0</v>
      </c>
      <c r="I80" s="29">
        <v>0.0</v>
      </c>
      <c r="J80" s="29">
        <v>0.0</v>
      </c>
      <c r="K80" s="29">
        <v>0.0</v>
      </c>
      <c r="L80" s="29">
        <v>0.0</v>
      </c>
      <c r="M80" s="29">
        <v>0.0</v>
      </c>
      <c r="N80" s="29">
        <v>0.0</v>
      </c>
      <c r="O80" s="29">
        <v>0.0</v>
      </c>
      <c r="P80" s="7"/>
      <c r="Q80" s="29">
        <f t="shared" si="21"/>
        <v>1275</v>
      </c>
      <c r="R80" s="7"/>
      <c r="S80" s="7"/>
      <c r="T80" s="7"/>
      <c r="U80" s="7"/>
      <c r="V80" s="7"/>
      <c r="W80" s="7"/>
      <c r="X80" s="7"/>
    </row>
    <row r="81" ht="19.5" customHeight="1">
      <c r="A81" s="7"/>
      <c r="B81" s="16" t="s">
        <v>75</v>
      </c>
      <c r="C81" s="17"/>
      <c r="D81" s="18">
        <f t="shared" ref="D81:O81" si="22">SUM(D70:D80)</f>
        <v>2177.5</v>
      </c>
      <c r="E81" s="18">
        <f t="shared" si="22"/>
        <v>2007.5</v>
      </c>
      <c r="F81" s="18">
        <f t="shared" si="22"/>
        <v>1717.5</v>
      </c>
      <c r="G81" s="18">
        <f t="shared" si="22"/>
        <v>1547.5</v>
      </c>
      <c r="H81" s="18">
        <f t="shared" si="22"/>
        <v>922.5</v>
      </c>
      <c r="I81" s="18">
        <f t="shared" si="22"/>
        <v>922.5</v>
      </c>
      <c r="J81" s="18">
        <f t="shared" si="22"/>
        <v>922.5</v>
      </c>
      <c r="K81" s="18">
        <f t="shared" si="22"/>
        <v>1172.5</v>
      </c>
      <c r="L81" s="18">
        <f t="shared" si="22"/>
        <v>922.5</v>
      </c>
      <c r="M81" s="18">
        <f t="shared" si="22"/>
        <v>922.5</v>
      </c>
      <c r="N81" s="18">
        <f t="shared" si="22"/>
        <v>1172.5</v>
      </c>
      <c r="O81" s="18">
        <f t="shared" si="22"/>
        <v>1172.5</v>
      </c>
      <c r="P81" s="7"/>
      <c r="Q81" s="18">
        <f>SUM(Q70:Q80)</f>
        <v>15580</v>
      </c>
      <c r="R81" s="7"/>
      <c r="S81" s="7"/>
      <c r="T81" s="7"/>
      <c r="U81" s="7"/>
      <c r="V81" s="7"/>
      <c r="W81" s="7"/>
      <c r="X81" s="7"/>
    </row>
    <row r="82" ht="19.5" customHeight="1">
      <c r="A82" s="7"/>
      <c r="B82" s="44"/>
      <c r="C82" s="7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7"/>
      <c r="Q82" s="44"/>
      <c r="R82" s="7"/>
      <c r="S82" s="7"/>
      <c r="T82" s="7"/>
      <c r="U82" s="7"/>
      <c r="V82" s="7"/>
      <c r="W82" s="7"/>
      <c r="X82" s="7"/>
    </row>
    <row r="83" ht="19.5" customHeight="1">
      <c r="A83" s="7"/>
      <c r="B83" s="45" t="s">
        <v>76</v>
      </c>
      <c r="C83" s="25" t="s">
        <v>6</v>
      </c>
      <c r="D83" s="25" t="s">
        <v>7</v>
      </c>
      <c r="E83" s="25" t="s">
        <v>8</v>
      </c>
      <c r="F83" s="25" t="s">
        <v>9</v>
      </c>
      <c r="G83" s="25" t="s">
        <v>10</v>
      </c>
      <c r="H83" s="25" t="s">
        <v>11</v>
      </c>
      <c r="I83" s="25" t="s">
        <v>12</v>
      </c>
      <c r="J83" s="25" t="s">
        <v>13</v>
      </c>
      <c r="K83" s="25" t="s">
        <v>14</v>
      </c>
      <c r="L83" s="25" t="s">
        <v>15</v>
      </c>
      <c r="M83" s="25" t="s">
        <v>16</v>
      </c>
      <c r="N83" s="25" t="s">
        <v>17</v>
      </c>
      <c r="O83" s="25" t="s">
        <v>18</v>
      </c>
      <c r="P83" s="7"/>
      <c r="Q83" s="25" t="s">
        <v>19</v>
      </c>
      <c r="R83" s="7"/>
      <c r="S83" s="7"/>
      <c r="T83" s="7"/>
      <c r="U83" s="7"/>
      <c r="V83" s="7"/>
      <c r="W83" s="7"/>
      <c r="X83" s="7"/>
    </row>
    <row r="84" ht="19.5" customHeight="1">
      <c r="A84" s="7"/>
      <c r="B84" s="31" t="s">
        <v>77</v>
      </c>
      <c r="C84" s="27"/>
      <c r="D84" s="28">
        <v>200.0</v>
      </c>
      <c r="E84" s="28">
        <v>200.0</v>
      </c>
      <c r="F84" s="28">
        <v>100.0</v>
      </c>
      <c r="G84" s="28">
        <v>100.0</v>
      </c>
      <c r="H84" s="28">
        <v>100.0</v>
      </c>
      <c r="I84" s="28">
        <v>100.0</v>
      </c>
      <c r="J84" s="28">
        <v>100.0</v>
      </c>
      <c r="K84" s="28">
        <v>100.0</v>
      </c>
      <c r="L84" s="28">
        <v>100.0</v>
      </c>
      <c r="M84" s="28">
        <v>100.0</v>
      </c>
      <c r="N84" s="28">
        <v>100.0</v>
      </c>
      <c r="O84" s="28">
        <v>100.0</v>
      </c>
      <c r="P84" s="7"/>
      <c r="Q84" s="29">
        <f t="shared" ref="Q84:Q88" si="23">SUM(D84:O84)</f>
        <v>1400</v>
      </c>
      <c r="R84" s="7"/>
      <c r="S84" s="7"/>
      <c r="T84" s="7"/>
      <c r="U84" s="7"/>
      <c r="V84" s="7"/>
      <c r="W84" s="7"/>
      <c r="X84" s="7"/>
    </row>
    <row r="85" ht="19.5" customHeight="1">
      <c r="A85" s="7"/>
      <c r="B85" s="31" t="s">
        <v>78</v>
      </c>
      <c r="C85" s="27"/>
      <c r="D85" s="28">
        <v>0.0</v>
      </c>
      <c r="E85" s="28">
        <v>50.0</v>
      </c>
      <c r="F85" s="28">
        <v>50.0</v>
      </c>
      <c r="G85" s="28">
        <v>50.0</v>
      </c>
      <c r="H85" s="28">
        <v>50.0</v>
      </c>
      <c r="I85" s="28">
        <v>50.0</v>
      </c>
      <c r="J85" s="28">
        <v>50.0</v>
      </c>
      <c r="K85" s="28">
        <v>50.0</v>
      </c>
      <c r="L85" s="28">
        <v>50.0</v>
      </c>
      <c r="M85" s="28">
        <v>50.0</v>
      </c>
      <c r="N85" s="28">
        <v>50.0</v>
      </c>
      <c r="O85" s="28">
        <v>50.0</v>
      </c>
      <c r="P85" s="7"/>
      <c r="Q85" s="29">
        <f t="shared" si="23"/>
        <v>550</v>
      </c>
      <c r="R85" s="7"/>
      <c r="S85" s="7"/>
      <c r="T85" s="7"/>
      <c r="U85" s="7"/>
      <c r="V85" s="7"/>
      <c r="W85" s="7"/>
      <c r="X85" s="7"/>
    </row>
    <row r="86" ht="19.5" customHeight="1">
      <c r="A86" s="7"/>
      <c r="B86" s="31" t="s">
        <v>79</v>
      </c>
      <c r="C86" s="27"/>
      <c r="D86" s="28">
        <v>10.0</v>
      </c>
      <c r="E86" s="29">
        <v>0.0</v>
      </c>
      <c r="F86" s="29">
        <v>0.0</v>
      </c>
      <c r="G86" s="29">
        <v>0.0</v>
      </c>
      <c r="H86" s="29">
        <v>0.0</v>
      </c>
      <c r="I86" s="29">
        <v>0.0</v>
      </c>
      <c r="J86" s="29">
        <v>0.0</v>
      </c>
      <c r="K86" s="29">
        <v>0.0</v>
      </c>
      <c r="L86" s="29">
        <v>0.0</v>
      </c>
      <c r="M86" s="29">
        <v>0.0</v>
      </c>
      <c r="N86" s="29">
        <v>0.0</v>
      </c>
      <c r="O86" s="28">
        <v>50.0</v>
      </c>
      <c r="P86" s="7"/>
      <c r="Q86" s="29">
        <f t="shared" si="23"/>
        <v>60</v>
      </c>
      <c r="R86" s="7"/>
      <c r="S86" s="7"/>
      <c r="T86" s="7"/>
      <c r="U86" s="7"/>
      <c r="V86" s="7"/>
      <c r="W86" s="7"/>
      <c r="X86" s="7"/>
    </row>
    <row r="87" ht="19.5" customHeight="1">
      <c r="A87" s="7"/>
      <c r="B87" s="31" t="s">
        <v>80</v>
      </c>
      <c r="C87" s="27"/>
      <c r="D87" s="28">
        <v>50.0</v>
      </c>
      <c r="E87" s="28">
        <v>80.0</v>
      </c>
      <c r="F87" s="28">
        <v>80.0</v>
      </c>
      <c r="G87" s="28">
        <v>80.0</v>
      </c>
      <c r="H87" s="28">
        <v>80.0</v>
      </c>
      <c r="I87" s="28">
        <v>80.0</v>
      </c>
      <c r="J87" s="28">
        <v>80.0</v>
      </c>
      <c r="K87" s="28">
        <v>80.0</v>
      </c>
      <c r="L87" s="28">
        <v>80.0</v>
      </c>
      <c r="M87" s="28">
        <v>80.0</v>
      </c>
      <c r="N87" s="28">
        <v>80.0</v>
      </c>
      <c r="O87" s="28">
        <v>80.0</v>
      </c>
      <c r="P87" s="7"/>
      <c r="Q87" s="29">
        <f t="shared" si="23"/>
        <v>930</v>
      </c>
      <c r="R87" s="7"/>
      <c r="S87" s="7"/>
      <c r="T87" s="7"/>
      <c r="U87" s="7"/>
      <c r="V87" s="7"/>
      <c r="W87" s="7"/>
      <c r="X87" s="7"/>
    </row>
    <row r="88" ht="19.5" customHeight="1">
      <c r="A88" s="7"/>
      <c r="B88" s="31" t="s">
        <v>29</v>
      </c>
      <c r="C88" s="27"/>
      <c r="D88" s="28"/>
      <c r="E88" s="29">
        <v>0.0</v>
      </c>
      <c r="F88" s="29">
        <v>0.0</v>
      </c>
      <c r="G88" s="29">
        <v>0.0</v>
      </c>
      <c r="H88" s="29">
        <v>0.0</v>
      </c>
      <c r="I88" s="29">
        <v>0.0</v>
      </c>
      <c r="J88" s="29">
        <v>0.0</v>
      </c>
      <c r="K88" s="29">
        <v>0.0</v>
      </c>
      <c r="L88" s="29">
        <v>0.0</v>
      </c>
      <c r="M88" s="29">
        <v>0.0</v>
      </c>
      <c r="N88" s="29">
        <v>0.0</v>
      </c>
      <c r="O88" s="29">
        <v>0.0</v>
      </c>
      <c r="P88" s="7"/>
      <c r="Q88" s="29">
        <f t="shared" si="23"/>
        <v>0</v>
      </c>
      <c r="R88" s="7"/>
      <c r="S88" s="7"/>
      <c r="T88" s="7"/>
      <c r="U88" s="7"/>
      <c r="V88" s="7"/>
      <c r="W88" s="7"/>
      <c r="X88" s="7"/>
    </row>
    <row r="89" ht="19.5" customHeight="1">
      <c r="A89" s="7"/>
      <c r="B89" s="16" t="s">
        <v>81</v>
      </c>
      <c r="C89" s="17"/>
      <c r="D89" s="18">
        <f t="shared" ref="D89:O89" si="24">SUM(D84:D88)</f>
        <v>260</v>
      </c>
      <c r="E89" s="18">
        <f t="shared" si="24"/>
        <v>330</v>
      </c>
      <c r="F89" s="18">
        <f t="shared" si="24"/>
        <v>230</v>
      </c>
      <c r="G89" s="18">
        <f t="shared" si="24"/>
        <v>230</v>
      </c>
      <c r="H89" s="18">
        <f t="shared" si="24"/>
        <v>230</v>
      </c>
      <c r="I89" s="18">
        <f t="shared" si="24"/>
        <v>230</v>
      </c>
      <c r="J89" s="18">
        <f t="shared" si="24"/>
        <v>230</v>
      </c>
      <c r="K89" s="18">
        <f t="shared" si="24"/>
        <v>230</v>
      </c>
      <c r="L89" s="18">
        <f t="shared" si="24"/>
        <v>230</v>
      </c>
      <c r="M89" s="18">
        <f t="shared" si="24"/>
        <v>230</v>
      </c>
      <c r="N89" s="18">
        <f t="shared" si="24"/>
        <v>230</v>
      </c>
      <c r="O89" s="18">
        <f t="shared" si="24"/>
        <v>280</v>
      </c>
      <c r="P89" s="7"/>
      <c r="Q89" s="18">
        <f>SUM(Q84:Q88)</f>
        <v>2940</v>
      </c>
      <c r="R89" s="7"/>
      <c r="S89" s="7"/>
      <c r="T89" s="7"/>
      <c r="U89" s="7"/>
      <c r="V89" s="7"/>
      <c r="W89" s="7"/>
      <c r="X89" s="7"/>
    </row>
    <row r="90" ht="19.5" customHeight="1">
      <c r="A90" s="7"/>
      <c r="B90" s="44"/>
      <c r="C90" s="7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7"/>
      <c r="Q90" s="44"/>
      <c r="R90" s="7"/>
      <c r="S90" s="7"/>
      <c r="T90" s="7"/>
      <c r="U90" s="7"/>
      <c r="V90" s="7"/>
      <c r="W90" s="7"/>
      <c r="X90" s="7"/>
    </row>
    <row r="91" ht="31.5" customHeight="1">
      <c r="A91" s="7"/>
      <c r="B91" s="49" t="s">
        <v>82</v>
      </c>
      <c r="C91" s="25" t="s">
        <v>6</v>
      </c>
      <c r="D91" s="25" t="s">
        <v>7</v>
      </c>
      <c r="E91" s="25" t="s">
        <v>8</v>
      </c>
      <c r="F91" s="25" t="s">
        <v>9</v>
      </c>
      <c r="G91" s="25" t="s">
        <v>10</v>
      </c>
      <c r="H91" s="25" t="s">
        <v>11</v>
      </c>
      <c r="I91" s="25" t="s">
        <v>12</v>
      </c>
      <c r="J91" s="25" t="s">
        <v>13</v>
      </c>
      <c r="K91" s="25" t="s">
        <v>14</v>
      </c>
      <c r="L91" s="25" t="s">
        <v>15</v>
      </c>
      <c r="M91" s="25" t="s">
        <v>16</v>
      </c>
      <c r="N91" s="25" t="s">
        <v>17</v>
      </c>
      <c r="O91" s="25" t="s">
        <v>18</v>
      </c>
      <c r="P91" s="7"/>
      <c r="Q91" s="25" t="s">
        <v>19</v>
      </c>
      <c r="R91" s="7"/>
      <c r="S91" s="7"/>
      <c r="T91" s="7"/>
      <c r="U91" s="7"/>
      <c r="V91" s="7"/>
      <c r="W91" s="7"/>
      <c r="X91" s="7"/>
    </row>
    <row r="92" ht="19.5" customHeight="1">
      <c r="A92" s="36">
        <v>0.24</v>
      </c>
      <c r="B92" s="26" t="s">
        <v>83</v>
      </c>
      <c r="C92" s="27"/>
      <c r="D92" s="29">
        <f>1143+745+1143</f>
        <v>3031</v>
      </c>
      <c r="E92" s="29">
        <f t="shared" ref="E92:O92" si="25">sum(E14,E15)*$A$92</f>
        <v>2599.9992</v>
      </c>
      <c r="F92" s="29">
        <f t="shared" si="25"/>
        <v>2599.9992</v>
      </c>
      <c r="G92" s="29">
        <f t="shared" si="25"/>
        <v>2599.9992</v>
      </c>
      <c r="H92" s="29">
        <f t="shared" si="25"/>
        <v>2599.9992</v>
      </c>
      <c r="I92" s="29">
        <f t="shared" si="25"/>
        <v>2599.9992</v>
      </c>
      <c r="J92" s="29">
        <f t="shared" si="25"/>
        <v>2599.9992</v>
      </c>
      <c r="K92" s="29">
        <f t="shared" si="25"/>
        <v>2599.9992</v>
      </c>
      <c r="L92" s="29">
        <f t="shared" si="25"/>
        <v>2599.9992</v>
      </c>
      <c r="M92" s="29">
        <f t="shared" si="25"/>
        <v>2599.9992</v>
      </c>
      <c r="N92" s="29">
        <f t="shared" si="25"/>
        <v>2599.9992</v>
      </c>
      <c r="O92" s="29">
        <f t="shared" si="25"/>
        <v>3319.9992</v>
      </c>
      <c r="P92" s="7"/>
      <c r="Q92" s="29">
        <f t="shared" ref="Q92:Q93" si="26">SUM(D92:O92)</f>
        <v>32350.9912</v>
      </c>
      <c r="R92" s="7"/>
      <c r="S92" s="7"/>
      <c r="T92" s="7"/>
      <c r="U92" s="7"/>
      <c r="V92" s="7"/>
      <c r="W92" s="7"/>
      <c r="X92" s="7"/>
    </row>
    <row r="93" ht="19.5" customHeight="1">
      <c r="A93" s="7"/>
      <c r="B93" s="31" t="s">
        <v>29</v>
      </c>
      <c r="C93" s="27"/>
      <c r="D93" s="29">
        <v>0.0</v>
      </c>
      <c r="E93" s="29">
        <v>0.0</v>
      </c>
      <c r="F93" s="29">
        <v>0.0</v>
      </c>
      <c r="G93" s="29">
        <v>0.0</v>
      </c>
      <c r="H93" s="29">
        <v>0.0</v>
      </c>
      <c r="I93" s="29">
        <v>0.0</v>
      </c>
      <c r="J93" s="29">
        <v>0.0</v>
      </c>
      <c r="K93" s="29">
        <v>0.0</v>
      </c>
      <c r="L93" s="29">
        <v>0.0</v>
      </c>
      <c r="M93" s="29">
        <v>0.0</v>
      </c>
      <c r="N93" s="29">
        <v>0.0</v>
      </c>
      <c r="O93" s="29">
        <v>0.0</v>
      </c>
      <c r="P93" s="7"/>
      <c r="Q93" s="29">
        <f t="shared" si="26"/>
        <v>0</v>
      </c>
      <c r="R93" s="7"/>
      <c r="S93" s="7"/>
      <c r="T93" s="7"/>
      <c r="U93" s="7"/>
      <c r="V93" s="7"/>
      <c r="W93" s="7"/>
      <c r="X93" s="7"/>
    </row>
    <row r="94" ht="19.5" customHeight="1">
      <c r="A94" s="7"/>
      <c r="B94" s="16" t="s">
        <v>84</v>
      </c>
      <c r="C94" s="17"/>
      <c r="D94" s="18">
        <f t="shared" ref="D94:O94" si="27">SUM(D92:D93)</f>
        <v>3031</v>
      </c>
      <c r="E94" s="18">
        <f t="shared" si="27"/>
        <v>2599.9992</v>
      </c>
      <c r="F94" s="18">
        <f t="shared" si="27"/>
        <v>2599.9992</v>
      </c>
      <c r="G94" s="18">
        <f t="shared" si="27"/>
        <v>2599.9992</v>
      </c>
      <c r="H94" s="18">
        <f t="shared" si="27"/>
        <v>2599.9992</v>
      </c>
      <c r="I94" s="18">
        <f t="shared" si="27"/>
        <v>2599.9992</v>
      </c>
      <c r="J94" s="18">
        <f t="shared" si="27"/>
        <v>2599.9992</v>
      </c>
      <c r="K94" s="18">
        <f t="shared" si="27"/>
        <v>2599.9992</v>
      </c>
      <c r="L94" s="18">
        <f t="shared" si="27"/>
        <v>2599.9992</v>
      </c>
      <c r="M94" s="18">
        <f t="shared" si="27"/>
        <v>2599.9992</v>
      </c>
      <c r="N94" s="18">
        <f t="shared" si="27"/>
        <v>2599.9992</v>
      </c>
      <c r="O94" s="18">
        <f t="shared" si="27"/>
        <v>3319.9992</v>
      </c>
      <c r="P94" s="7"/>
      <c r="Q94" s="18">
        <f>SUM(Q92:Q93)</f>
        <v>32350.9912</v>
      </c>
      <c r="R94" s="7"/>
      <c r="S94" s="7"/>
      <c r="T94" s="7"/>
      <c r="U94" s="7"/>
      <c r="V94" s="7"/>
      <c r="W94" s="7"/>
      <c r="X94" s="7"/>
    </row>
    <row r="95" ht="19.5" customHeight="1">
      <c r="A95" s="7"/>
      <c r="B95" s="44"/>
      <c r="C95" s="7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7"/>
      <c r="Q95" s="44"/>
      <c r="R95" s="7"/>
      <c r="S95" s="7"/>
      <c r="T95" s="7"/>
      <c r="U95" s="7"/>
      <c r="V95" s="7"/>
      <c r="W95" s="7"/>
      <c r="X95" s="7"/>
    </row>
    <row r="96" ht="19.5" customHeight="1">
      <c r="A96" s="7"/>
      <c r="B96" s="16" t="s">
        <v>21</v>
      </c>
      <c r="C96" s="17"/>
      <c r="D96" s="18">
        <f t="shared" ref="D96:O96" si="28">SUM(D51,D59,D67,D81,D89,D94)</f>
        <v>7848.5</v>
      </c>
      <c r="E96" s="18">
        <f t="shared" si="28"/>
        <v>7317.4992</v>
      </c>
      <c r="F96" s="18">
        <f t="shared" si="28"/>
        <v>8527.4992</v>
      </c>
      <c r="G96" s="18">
        <f t="shared" si="28"/>
        <v>6557.4992</v>
      </c>
      <c r="H96" s="18">
        <f t="shared" si="28"/>
        <v>5932.4992</v>
      </c>
      <c r="I96" s="18">
        <f t="shared" si="28"/>
        <v>5932.4992</v>
      </c>
      <c r="J96" s="18">
        <f t="shared" si="28"/>
        <v>5932.4992</v>
      </c>
      <c r="K96" s="18">
        <f t="shared" si="28"/>
        <v>6182.4992</v>
      </c>
      <c r="L96" s="18">
        <f t="shared" si="28"/>
        <v>5932.4992</v>
      </c>
      <c r="M96" s="18">
        <f t="shared" si="28"/>
        <v>5932.4992</v>
      </c>
      <c r="N96" s="18">
        <f t="shared" si="28"/>
        <v>6182.4992</v>
      </c>
      <c r="O96" s="18">
        <f t="shared" si="28"/>
        <v>6952.4992</v>
      </c>
      <c r="P96" s="7"/>
      <c r="Q96" s="18">
        <f>SUM(Q51,Q59,Q67,Q81,Q89,Q94)</f>
        <v>79230.9912</v>
      </c>
      <c r="R96" s="7"/>
      <c r="S96" s="7"/>
      <c r="T96" s="7"/>
      <c r="U96" s="7"/>
      <c r="V96" s="7"/>
      <c r="W96" s="7"/>
      <c r="X96" s="7"/>
    </row>
    <row r="97" ht="19.5" customHeight="1">
      <c r="A97" s="7"/>
      <c r="B97" s="50"/>
      <c r="C97" s="7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7"/>
      <c r="Q97" s="42"/>
      <c r="R97" s="7"/>
      <c r="S97" s="7"/>
      <c r="T97" s="7"/>
      <c r="U97" s="7"/>
      <c r="V97" s="7"/>
      <c r="W97" s="7"/>
      <c r="X97" s="7"/>
    </row>
    <row r="98" ht="49.5" customHeight="1">
      <c r="A98" s="43"/>
      <c r="B98" s="51" t="s">
        <v>85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3"/>
      <c r="R98" s="43"/>
      <c r="S98" s="43"/>
      <c r="T98" s="43"/>
      <c r="U98" s="43"/>
      <c r="V98" s="43"/>
      <c r="W98" s="43"/>
      <c r="X98" s="43"/>
      <c r="Y98" s="43"/>
      <c r="Z98" s="43"/>
    </row>
    <row r="99" ht="15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5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5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30.0" customHeight="1">
      <c r="A102" s="54"/>
      <c r="B102" s="55" t="s">
        <v>86</v>
      </c>
      <c r="C102" s="56" t="s">
        <v>87</v>
      </c>
      <c r="D102" s="57" t="s">
        <v>7</v>
      </c>
      <c r="E102" s="57" t="s">
        <v>8</v>
      </c>
      <c r="F102" s="57" t="s">
        <v>9</v>
      </c>
      <c r="G102" s="57" t="s">
        <v>10</v>
      </c>
      <c r="H102" s="57" t="s">
        <v>11</v>
      </c>
      <c r="I102" s="57" t="s">
        <v>12</v>
      </c>
      <c r="J102" s="57" t="s">
        <v>13</v>
      </c>
      <c r="K102" s="57" t="s">
        <v>14</v>
      </c>
      <c r="L102" s="57" t="s">
        <v>15</v>
      </c>
      <c r="M102" s="57" t="s">
        <v>16</v>
      </c>
      <c r="N102" s="57" t="s">
        <v>17</v>
      </c>
      <c r="O102" s="57" t="s">
        <v>18</v>
      </c>
      <c r="P102" s="58"/>
      <c r="Q102" s="59" t="s">
        <v>88</v>
      </c>
      <c r="R102" s="54"/>
      <c r="S102" s="54"/>
      <c r="T102" s="54"/>
      <c r="U102" s="54"/>
      <c r="V102" s="54"/>
      <c r="W102" s="54"/>
      <c r="X102" s="54"/>
      <c r="Y102" s="60"/>
      <c r="Z102" s="60"/>
    </row>
    <row r="103" ht="19.5" customHeight="1">
      <c r="A103" s="78">
        <v>6700.0</v>
      </c>
      <c r="B103" s="61" t="s">
        <v>89</v>
      </c>
      <c r="C103" s="62">
        <v>57000.0</v>
      </c>
      <c r="D103" s="63">
        <f>C103-D62-D66</f>
        <v>55655</v>
      </c>
      <c r="E103" s="63">
        <f t="shared" ref="E103:F103" si="29">D103-E62</f>
        <v>54310</v>
      </c>
      <c r="F103" s="63">
        <f t="shared" si="29"/>
        <v>52965</v>
      </c>
      <c r="G103" s="63">
        <f>F103-G62-A103</f>
        <v>44920</v>
      </c>
      <c r="H103" s="63">
        <f t="shared" ref="H103:O103" si="30">G103-H62</f>
        <v>43575</v>
      </c>
      <c r="I103" s="63">
        <f t="shared" si="30"/>
        <v>42230</v>
      </c>
      <c r="J103" s="63">
        <f t="shared" si="30"/>
        <v>40885</v>
      </c>
      <c r="K103" s="63">
        <f t="shared" si="30"/>
        <v>39540</v>
      </c>
      <c r="L103" s="63">
        <f t="shared" si="30"/>
        <v>38195</v>
      </c>
      <c r="M103" s="63">
        <f t="shared" si="30"/>
        <v>36850</v>
      </c>
      <c r="N103" s="63">
        <f t="shared" si="30"/>
        <v>35505</v>
      </c>
      <c r="O103" s="63">
        <f t="shared" si="30"/>
        <v>34160</v>
      </c>
      <c r="P103" s="64"/>
      <c r="Q103" s="65">
        <f t="shared" ref="Q103:Q104" si="32">Q62</f>
        <v>16140</v>
      </c>
      <c r="R103" s="66"/>
      <c r="S103" s="7"/>
      <c r="T103" s="7"/>
      <c r="U103" s="7"/>
      <c r="V103" s="7"/>
      <c r="W103" s="7"/>
      <c r="X103" s="7"/>
    </row>
    <row r="104" ht="19.5" customHeight="1">
      <c r="A104" s="7"/>
      <c r="B104" s="26" t="s">
        <v>61</v>
      </c>
      <c r="C104" s="62">
        <v>8500.0</v>
      </c>
      <c r="D104" s="63">
        <f t="shared" ref="D104:O104" si="31">C104-D64</f>
        <v>8100</v>
      </c>
      <c r="E104" s="63">
        <f t="shared" si="31"/>
        <v>7700</v>
      </c>
      <c r="F104" s="63">
        <f t="shared" si="31"/>
        <v>7300</v>
      </c>
      <c r="G104" s="63">
        <f t="shared" si="31"/>
        <v>6900</v>
      </c>
      <c r="H104" s="63">
        <f t="shared" si="31"/>
        <v>6500</v>
      </c>
      <c r="I104" s="63">
        <f t="shared" si="31"/>
        <v>6100</v>
      </c>
      <c r="J104" s="63">
        <f t="shared" si="31"/>
        <v>5700</v>
      </c>
      <c r="K104" s="63">
        <f t="shared" si="31"/>
        <v>5300</v>
      </c>
      <c r="L104" s="63">
        <f t="shared" si="31"/>
        <v>4900</v>
      </c>
      <c r="M104" s="63">
        <f t="shared" si="31"/>
        <v>4500</v>
      </c>
      <c r="N104" s="63">
        <f t="shared" si="31"/>
        <v>4100</v>
      </c>
      <c r="O104" s="63">
        <f t="shared" si="31"/>
        <v>3700</v>
      </c>
      <c r="P104" s="64"/>
      <c r="Q104" s="65">
        <f t="shared" si="32"/>
        <v>5220</v>
      </c>
      <c r="R104" s="66"/>
      <c r="S104" s="7"/>
      <c r="T104" s="7"/>
      <c r="U104" s="7"/>
      <c r="V104" s="7"/>
      <c r="W104" s="7"/>
      <c r="X104" s="7"/>
    </row>
    <row r="105" ht="19.5" customHeight="1">
      <c r="A105" s="7"/>
      <c r="B105" s="26" t="s">
        <v>62</v>
      </c>
      <c r="C105" s="62">
        <v>2200.0</v>
      </c>
      <c r="D105" s="63">
        <f t="shared" ref="D105:O105" si="33">C105-D65</f>
        <v>2000</v>
      </c>
      <c r="E105" s="63">
        <f t="shared" si="33"/>
        <v>1800</v>
      </c>
      <c r="F105" s="63">
        <f t="shared" si="33"/>
        <v>0</v>
      </c>
      <c r="G105" s="63">
        <f t="shared" si="33"/>
        <v>0</v>
      </c>
      <c r="H105" s="63">
        <f t="shared" si="33"/>
        <v>0</v>
      </c>
      <c r="I105" s="63">
        <f t="shared" si="33"/>
        <v>0</v>
      </c>
      <c r="J105" s="63">
        <f t="shared" si="33"/>
        <v>0</v>
      </c>
      <c r="K105" s="63">
        <f t="shared" si="33"/>
        <v>0</v>
      </c>
      <c r="L105" s="63">
        <f t="shared" si="33"/>
        <v>0</v>
      </c>
      <c r="M105" s="63">
        <f t="shared" si="33"/>
        <v>0</v>
      </c>
      <c r="N105" s="63">
        <f t="shared" si="33"/>
        <v>0</v>
      </c>
      <c r="O105" s="63">
        <f t="shared" si="33"/>
        <v>0</v>
      </c>
      <c r="P105" s="64"/>
      <c r="Q105" s="65">
        <f t="shared" ref="Q105:Q106" si="34">Q65</f>
        <v>2200</v>
      </c>
      <c r="R105" s="66"/>
      <c r="S105" s="7"/>
      <c r="T105" s="7"/>
      <c r="U105" s="7"/>
      <c r="V105" s="7"/>
      <c r="W105" s="7"/>
      <c r="X105" s="7"/>
    </row>
    <row r="106" ht="19.5" customHeight="1">
      <c r="A106" s="7"/>
      <c r="B106" s="26" t="s">
        <v>119</v>
      </c>
      <c r="C106" s="62">
        <v>0.0</v>
      </c>
      <c r="D106" s="82">
        <v>0.0</v>
      </c>
      <c r="E106" s="82">
        <v>0.0</v>
      </c>
      <c r="F106" s="82">
        <v>0.0</v>
      </c>
      <c r="G106" s="82">
        <v>0.0</v>
      </c>
      <c r="H106" s="82">
        <v>0.0</v>
      </c>
      <c r="I106" s="82">
        <v>0.0</v>
      </c>
      <c r="J106" s="82">
        <v>0.0</v>
      </c>
      <c r="K106" s="82">
        <v>0.0</v>
      </c>
      <c r="L106" s="82">
        <v>0.0</v>
      </c>
      <c r="M106" s="82">
        <v>0.0</v>
      </c>
      <c r="N106" s="82">
        <v>0.0</v>
      </c>
      <c r="O106" s="82">
        <v>0.0</v>
      </c>
      <c r="P106" s="64"/>
      <c r="Q106" s="65">
        <f t="shared" si="34"/>
        <v>0</v>
      </c>
      <c r="R106" s="66"/>
      <c r="S106" s="7"/>
      <c r="T106" s="7"/>
      <c r="U106" s="7"/>
      <c r="V106" s="7"/>
      <c r="W106" s="7"/>
      <c r="X106" s="7"/>
    </row>
    <row r="107" ht="19.5" customHeight="1">
      <c r="A107" s="7"/>
      <c r="B107" s="67"/>
      <c r="C107" s="68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70"/>
      <c r="Q107" s="71"/>
      <c r="R107" s="7"/>
      <c r="S107" s="7"/>
      <c r="T107" s="7"/>
      <c r="U107" s="7"/>
      <c r="V107" s="7"/>
      <c r="W107" s="7"/>
      <c r="X107" s="7"/>
    </row>
    <row r="108" ht="19.5" customHeight="1">
      <c r="A108" s="7"/>
      <c r="B108" s="72" t="s">
        <v>90</v>
      </c>
      <c r="C108" s="73">
        <f t="shared" ref="C108:I108" si="35">sum(C103:C105)</f>
        <v>67700</v>
      </c>
      <c r="D108" s="73">
        <f t="shared" si="35"/>
        <v>65755</v>
      </c>
      <c r="E108" s="73">
        <f t="shared" si="35"/>
        <v>63810</v>
      </c>
      <c r="F108" s="73">
        <f t="shared" si="35"/>
        <v>60265</v>
      </c>
      <c r="G108" s="73">
        <f t="shared" si="35"/>
        <v>51820</v>
      </c>
      <c r="H108" s="73">
        <f t="shared" si="35"/>
        <v>50075</v>
      </c>
      <c r="I108" s="73">
        <f t="shared" si="35"/>
        <v>48330</v>
      </c>
      <c r="J108" s="73">
        <f t="shared" ref="J108:O108" si="36">sum(J103:J106)</f>
        <v>46585</v>
      </c>
      <c r="K108" s="73">
        <f t="shared" si="36"/>
        <v>44840</v>
      </c>
      <c r="L108" s="73">
        <f t="shared" si="36"/>
        <v>43095</v>
      </c>
      <c r="M108" s="73">
        <f t="shared" si="36"/>
        <v>41350</v>
      </c>
      <c r="N108" s="73">
        <f t="shared" si="36"/>
        <v>39605</v>
      </c>
      <c r="O108" s="73">
        <f t="shared" si="36"/>
        <v>37860</v>
      </c>
      <c r="P108" s="74"/>
      <c r="Q108" s="75">
        <f>SUM(Q103:Q105)</f>
        <v>23560</v>
      </c>
      <c r="R108" s="66"/>
      <c r="S108" s="7"/>
      <c r="T108" s="7"/>
      <c r="U108" s="7"/>
      <c r="V108" s="7"/>
      <c r="W108" s="7"/>
      <c r="X108" s="7"/>
    </row>
    <row r="109" ht="19.5" customHeight="1">
      <c r="A109" s="7"/>
      <c r="B109" s="76"/>
      <c r="C109" s="68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7"/>
      <c r="Q109" s="71"/>
      <c r="R109" s="7"/>
      <c r="S109" s="7"/>
      <c r="T109" s="7"/>
      <c r="U109" s="7"/>
      <c r="V109" s="7"/>
      <c r="W109" s="7"/>
      <c r="X109" s="7"/>
    </row>
    <row r="110" ht="30.0" customHeight="1">
      <c r="A110" s="54"/>
      <c r="B110" s="55" t="s">
        <v>92</v>
      </c>
      <c r="C110" s="56" t="s">
        <v>87</v>
      </c>
      <c r="D110" s="57" t="s">
        <v>7</v>
      </c>
      <c r="E110" s="57" t="s">
        <v>8</v>
      </c>
      <c r="F110" s="57" t="s">
        <v>9</v>
      </c>
      <c r="G110" s="57" t="s">
        <v>10</v>
      </c>
      <c r="H110" s="57" t="s">
        <v>11</v>
      </c>
      <c r="I110" s="57" t="s">
        <v>12</v>
      </c>
      <c r="J110" s="57" t="s">
        <v>13</v>
      </c>
      <c r="K110" s="57" t="s">
        <v>14</v>
      </c>
      <c r="L110" s="57" t="s">
        <v>15</v>
      </c>
      <c r="M110" s="57" t="s">
        <v>16</v>
      </c>
      <c r="N110" s="57" t="s">
        <v>17</v>
      </c>
      <c r="O110" s="57" t="s">
        <v>18</v>
      </c>
      <c r="P110" s="58"/>
      <c r="Q110" s="59" t="s">
        <v>93</v>
      </c>
      <c r="R110" s="54"/>
      <c r="S110" s="54"/>
      <c r="T110" s="54"/>
      <c r="U110" s="54"/>
      <c r="V110" s="54"/>
      <c r="W110" s="54"/>
      <c r="X110" s="54"/>
      <c r="Y110" s="60"/>
      <c r="Z110" s="60"/>
    </row>
    <row r="111" ht="19.5" customHeight="1">
      <c r="A111" s="7"/>
      <c r="B111" s="61" t="s">
        <v>113</v>
      </c>
      <c r="C111" s="62">
        <v>15000.0</v>
      </c>
      <c r="D111" s="82">
        <v>15000.0</v>
      </c>
      <c r="E111" s="82">
        <v>15000.0</v>
      </c>
      <c r="F111" s="82">
        <v>15000.0</v>
      </c>
      <c r="G111" s="82">
        <v>20000.0</v>
      </c>
      <c r="H111" s="82">
        <v>25000.0</v>
      </c>
      <c r="I111" s="82">
        <v>25000.0</v>
      </c>
      <c r="J111" s="82">
        <v>25000.0</v>
      </c>
      <c r="K111" s="82">
        <v>25000.0</v>
      </c>
      <c r="L111" s="82">
        <v>25000.0</v>
      </c>
      <c r="M111" s="82">
        <v>25000.0</v>
      </c>
      <c r="N111" s="82">
        <v>25000.0</v>
      </c>
      <c r="O111" s="82">
        <v>25000.0</v>
      </c>
      <c r="P111" s="83"/>
      <c r="Q111" s="84">
        <f t="shared" ref="Q111:Q118" si="37">O111-C111</f>
        <v>10000</v>
      </c>
      <c r="R111" s="66"/>
      <c r="S111" s="7"/>
      <c r="T111" s="7"/>
      <c r="U111" s="7"/>
      <c r="V111" s="7"/>
      <c r="W111" s="7"/>
      <c r="X111" s="7"/>
    </row>
    <row r="112" ht="19.5" customHeight="1">
      <c r="A112" s="7"/>
      <c r="B112" s="61" t="s">
        <v>114</v>
      </c>
      <c r="C112" s="62">
        <v>15000.0</v>
      </c>
      <c r="D112" s="82">
        <v>15000.0</v>
      </c>
      <c r="E112" s="82">
        <v>15000.0</v>
      </c>
      <c r="F112" s="82">
        <v>15000.0</v>
      </c>
      <c r="G112" s="82">
        <v>20000.0</v>
      </c>
      <c r="H112" s="82">
        <v>20000.0</v>
      </c>
      <c r="I112" s="82">
        <v>20000.0</v>
      </c>
      <c r="J112" s="82">
        <v>20000.0</v>
      </c>
      <c r="K112" s="82">
        <v>20000.0</v>
      </c>
      <c r="L112" s="82">
        <v>20000.0</v>
      </c>
      <c r="M112" s="82">
        <v>20000.0</v>
      </c>
      <c r="N112" s="82">
        <v>20000.0</v>
      </c>
      <c r="O112" s="82">
        <v>20000.0</v>
      </c>
      <c r="P112" s="83"/>
      <c r="Q112" s="84">
        <f t="shared" si="37"/>
        <v>5000</v>
      </c>
      <c r="R112" s="66"/>
      <c r="S112" s="7"/>
      <c r="T112" s="7"/>
      <c r="U112" s="7"/>
      <c r="V112" s="7"/>
      <c r="W112" s="7"/>
      <c r="X112" s="7"/>
    </row>
    <row r="113" ht="19.5" customHeight="1">
      <c r="A113" s="7"/>
      <c r="B113" s="85" t="s">
        <v>96</v>
      </c>
      <c r="C113" s="62">
        <v>6000.0</v>
      </c>
      <c r="D113" s="86">
        <v>6600.0</v>
      </c>
      <c r="E113" s="86">
        <v>6600.0</v>
      </c>
      <c r="F113" s="86">
        <v>6600.0</v>
      </c>
      <c r="G113" s="86">
        <v>4000.0</v>
      </c>
      <c r="H113" s="86">
        <v>4500.0</v>
      </c>
      <c r="I113" s="86">
        <v>4500.0</v>
      </c>
      <c r="J113" s="86">
        <v>4500.0</v>
      </c>
      <c r="K113" s="86">
        <v>4500.0</v>
      </c>
      <c r="L113" s="86">
        <v>4500.0</v>
      </c>
      <c r="M113" s="86">
        <v>4500.0</v>
      </c>
      <c r="N113" s="86">
        <v>4500.0</v>
      </c>
      <c r="O113" s="86">
        <v>4500.0</v>
      </c>
      <c r="P113" s="83"/>
      <c r="Q113" s="84">
        <f t="shared" si="37"/>
        <v>-1500</v>
      </c>
      <c r="R113" s="66"/>
      <c r="S113" s="7"/>
      <c r="T113" s="7"/>
      <c r="U113" s="7"/>
      <c r="V113" s="7"/>
      <c r="W113" s="7"/>
      <c r="X113" s="7"/>
    </row>
    <row r="114" ht="19.5" customHeight="1">
      <c r="A114" s="7"/>
      <c r="B114" s="85" t="s">
        <v>97</v>
      </c>
      <c r="C114" s="62">
        <v>1600.0</v>
      </c>
      <c r="D114" s="82">
        <f t="shared" ref="D114:F114" si="38">C114+D11</f>
        <v>327.5</v>
      </c>
      <c r="E114" s="82">
        <f t="shared" si="38"/>
        <v>3409.9976</v>
      </c>
      <c r="F114" s="82">
        <f t="shared" si="38"/>
        <v>5282.4952</v>
      </c>
      <c r="G114" s="82">
        <v>1500.0</v>
      </c>
      <c r="H114" s="82">
        <f t="shared" ref="H114:O114" si="39">G114+H11</f>
        <v>5967.4976</v>
      </c>
      <c r="I114" s="82">
        <f t="shared" si="39"/>
        <v>10434.9952</v>
      </c>
      <c r="J114" s="82">
        <f t="shared" si="39"/>
        <v>14902.4928</v>
      </c>
      <c r="K114" s="82">
        <f t="shared" si="39"/>
        <v>19119.9904</v>
      </c>
      <c r="L114" s="82">
        <f t="shared" si="39"/>
        <v>23587.488</v>
      </c>
      <c r="M114" s="82">
        <f t="shared" si="39"/>
        <v>28054.9856</v>
      </c>
      <c r="N114" s="82">
        <f t="shared" si="39"/>
        <v>32272.4832</v>
      </c>
      <c r="O114" s="82">
        <f t="shared" si="39"/>
        <v>38719.9808</v>
      </c>
      <c r="P114" s="83"/>
      <c r="Q114" s="84">
        <f t="shared" si="37"/>
        <v>37119.9808</v>
      </c>
      <c r="R114" s="66"/>
      <c r="S114" s="7"/>
      <c r="T114" s="7"/>
      <c r="U114" s="7"/>
      <c r="V114" s="7"/>
      <c r="W114" s="7"/>
      <c r="X114" s="7"/>
    </row>
    <row r="115" ht="19.5" customHeight="1">
      <c r="A115" s="7"/>
      <c r="B115" s="85" t="s">
        <v>98</v>
      </c>
      <c r="C115" s="62">
        <v>1800.0</v>
      </c>
      <c r="D115" s="82">
        <v>2600.0</v>
      </c>
      <c r="E115" s="82">
        <v>1000.0</v>
      </c>
      <c r="F115" s="82">
        <v>0.0</v>
      </c>
      <c r="G115" s="82">
        <v>0.0</v>
      </c>
      <c r="H115" s="82">
        <v>0.0</v>
      </c>
      <c r="I115" s="82">
        <v>0.0</v>
      </c>
      <c r="J115" s="82">
        <v>0.0</v>
      </c>
      <c r="K115" s="82">
        <v>0.0</v>
      </c>
      <c r="L115" s="100">
        <v>0.0</v>
      </c>
      <c r="M115" s="100">
        <v>0.0</v>
      </c>
      <c r="N115" s="100">
        <v>0.0</v>
      </c>
      <c r="O115" s="100">
        <v>0.0</v>
      </c>
      <c r="P115" s="83"/>
      <c r="Q115" s="84">
        <f t="shared" si="37"/>
        <v>-1800</v>
      </c>
      <c r="R115" s="66"/>
      <c r="S115" s="7"/>
      <c r="T115" s="7"/>
      <c r="U115" s="7"/>
      <c r="V115" s="7"/>
      <c r="W115" s="7"/>
      <c r="X115" s="7"/>
    </row>
    <row r="116" ht="19.5" customHeight="1">
      <c r="A116" s="7"/>
      <c r="B116" s="85" t="s">
        <v>99</v>
      </c>
      <c r="C116" s="62">
        <v>12000.0</v>
      </c>
      <c r="D116" s="82">
        <v>12100.0</v>
      </c>
      <c r="E116" s="82">
        <f>D116+E33</f>
        <v>12100</v>
      </c>
      <c r="F116" s="82">
        <v>10000.0</v>
      </c>
      <c r="G116" s="82">
        <v>15000.0</v>
      </c>
      <c r="H116" s="82">
        <v>25000.0</v>
      </c>
      <c r="I116" s="82">
        <f t="shared" ref="I116:O116" si="40">H116+I33</f>
        <v>25000</v>
      </c>
      <c r="J116" s="82">
        <f t="shared" si="40"/>
        <v>25000</v>
      </c>
      <c r="K116" s="82">
        <f t="shared" si="40"/>
        <v>25000</v>
      </c>
      <c r="L116" s="82">
        <f t="shared" si="40"/>
        <v>25000</v>
      </c>
      <c r="M116" s="82">
        <f t="shared" si="40"/>
        <v>25000</v>
      </c>
      <c r="N116" s="82">
        <f t="shared" si="40"/>
        <v>25000</v>
      </c>
      <c r="O116" s="82">
        <f t="shared" si="40"/>
        <v>25000</v>
      </c>
      <c r="P116" s="83"/>
      <c r="Q116" s="84">
        <f t="shared" si="37"/>
        <v>13000</v>
      </c>
      <c r="R116" s="66"/>
      <c r="S116" s="7"/>
      <c r="T116" s="7"/>
      <c r="U116" s="7"/>
      <c r="V116" s="7"/>
      <c r="W116" s="7"/>
      <c r="X116" s="7"/>
    </row>
    <row r="117" ht="19.5" customHeight="1">
      <c r="A117" s="7"/>
      <c r="B117" s="85" t="s">
        <v>100</v>
      </c>
      <c r="C117" s="62">
        <v>9000.0</v>
      </c>
      <c r="D117" s="82">
        <v>9750.0</v>
      </c>
      <c r="E117" s="82">
        <f>D117+E32+($D$14*0.04)</f>
        <v>10583.3332</v>
      </c>
      <c r="F117" s="82">
        <v>9200.0</v>
      </c>
      <c r="G117" s="82">
        <v>15000.0</v>
      </c>
      <c r="H117" s="82">
        <v>22000.0</v>
      </c>
      <c r="I117" s="82">
        <f t="shared" ref="I117:O117" si="41">H117+I32+($D$14*0.04)</f>
        <v>22833.3332</v>
      </c>
      <c r="J117" s="82">
        <f t="shared" si="41"/>
        <v>23666.6664</v>
      </c>
      <c r="K117" s="82">
        <f t="shared" si="41"/>
        <v>24499.9996</v>
      </c>
      <c r="L117" s="82">
        <f t="shared" si="41"/>
        <v>25333.3328</v>
      </c>
      <c r="M117" s="82">
        <f t="shared" si="41"/>
        <v>26166.666</v>
      </c>
      <c r="N117" s="82">
        <f t="shared" si="41"/>
        <v>26999.9992</v>
      </c>
      <c r="O117" s="82">
        <f t="shared" si="41"/>
        <v>27833.3324</v>
      </c>
      <c r="P117" s="83"/>
      <c r="Q117" s="84">
        <f t="shared" si="37"/>
        <v>18833.3324</v>
      </c>
      <c r="R117" s="66"/>
      <c r="S117" s="7"/>
      <c r="T117" s="7"/>
      <c r="U117" s="7"/>
      <c r="V117" s="7"/>
      <c r="W117" s="7"/>
      <c r="X117" s="7"/>
    </row>
    <row r="118" ht="19.5" customHeight="1">
      <c r="A118" s="87">
        <v>75.0</v>
      </c>
      <c r="B118" s="85" t="s">
        <v>101</v>
      </c>
      <c r="C118" s="62">
        <v>3000.0</v>
      </c>
      <c r="D118" s="82">
        <f t="shared" ref="D118:O118" si="42">C118-$A$118</f>
        <v>2925</v>
      </c>
      <c r="E118" s="82">
        <f t="shared" si="42"/>
        <v>2850</v>
      </c>
      <c r="F118" s="82">
        <f t="shared" si="42"/>
        <v>2775</v>
      </c>
      <c r="G118" s="82">
        <f t="shared" si="42"/>
        <v>2700</v>
      </c>
      <c r="H118" s="82">
        <f t="shared" si="42"/>
        <v>2625</v>
      </c>
      <c r="I118" s="82">
        <f t="shared" si="42"/>
        <v>2550</v>
      </c>
      <c r="J118" s="82">
        <f t="shared" si="42"/>
        <v>2475</v>
      </c>
      <c r="K118" s="82">
        <f t="shared" si="42"/>
        <v>2400</v>
      </c>
      <c r="L118" s="82">
        <f t="shared" si="42"/>
        <v>2325</v>
      </c>
      <c r="M118" s="82">
        <f t="shared" si="42"/>
        <v>2250</v>
      </c>
      <c r="N118" s="82">
        <f t="shared" si="42"/>
        <v>2175</v>
      </c>
      <c r="O118" s="82">
        <f t="shared" si="42"/>
        <v>2100</v>
      </c>
      <c r="P118" s="83"/>
      <c r="Q118" s="84">
        <f t="shared" si="37"/>
        <v>-900</v>
      </c>
      <c r="R118" s="66"/>
      <c r="S118" s="7"/>
      <c r="T118" s="7"/>
      <c r="U118" s="7"/>
      <c r="V118" s="7"/>
      <c r="W118" s="7"/>
      <c r="X118" s="7"/>
    </row>
    <row r="119" ht="19.5" customHeight="1">
      <c r="A119" s="7"/>
      <c r="B119" s="85" t="s">
        <v>29</v>
      </c>
      <c r="C119" s="62">
        <v>0.0</v>
      </c>
      <c r="D119" s="82">
        <v>0.0</v>
      </c>
      <c r="E119" s="82">
        <v>0.0</v>
      </c>
      <c r="F119" s="82">
        <v>0.0</v>
      </c>
      <c r="G119" s="82">
        <v>0.0</v>
      </c>
      <c r="H119" s="82">
        <v>0.0</v>
      </c>
      <c r="I119" s="82">
        <v>0.0</v>
      </c>
      <c r="J119" s="82">
        <v>0.0</v>
      </c>
      <c r="K119" s="82">
        <v>0.0</v>
      </c>
      <c r="L119" s="82">
        <v>0.0</v>
      </c>
      <c r="M119" s="82">
        <v>0.0</v>
      </c>
      <c r="N119" s="82">
        <v>0.0</v>
      </c>
      <c r="O119" s="82">
        <v>0.0</v>
      </c>
      <c r="P119" s="83"/>
      <c r="Q119" s="84">
        <v>0.0</v>
      </c>
      <c r="R119" s="66"/>
      <c r="S119" s="7"/>
      <c r="T119" s="7"/>
      <c r="U119" s="7"/>
      <c r="V119" s="7"/>
      <c r="W119" s="7"/>
      <c r="X119" s="7"/>
    </row>
    <row r="120" ht="19.5" customHeight="1">
      <c r="A120" s="7"/>
      <c r="B120" s="67"/>
      <c r="C120" s="6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9"/>
      <c r="Q120" s="90"/>
      <c r="R120" s="7"/>
      <c r="S120" s="7"/>
      <c r="T120" s="7"/>
      <c r="U120" s="7"/>
      <c r="V120" s="7"/>
      <c r="W120" s="7"/>
      <c r="X120" s="7"/>
    </row>
    <row r="121" ht="19.5" customHeight="1">
      <c r="A121" s="7"/>
      <c r="B121" s="72" t="s">
        <v>102</v>
      </c>
      <c r="C121" s="73">
        <f t="shared" ref="C121:E121" si="43">sum(C111:C119)</f>
        <v>63400</v>
      </c>
      <c r="D121" s="73">
        <f t="shared" si="43"/>
        <v>64302.5</v>
      </c>
      <c r="E121" s="73">
        <f t="shared" si="43"/>
        <v>66543.3308</v>
      </c>
      <c r="F121" s="73">
        <f>sum(F111:F117)</f>
        <v>61082.4952</v>
      </c>
      <c r="G121" s="73">
        <f t="shared" ref="G121:N121" si="44">sum(G111:G119)</f>
        <v>78200</v>
      </c>
      <c r="H121" s="73">
        <f t="shared" si="44"/>
        <v>105092.4976</v>
      </c>
      <c r="I121" s="73">
        <f t="shared" si="44"/>
        <v>110318.3284</v>
      </c>
      <c r="J121" s="73">
        <f t="shared" si="44"/>
        <v>115544.1592</v>
      </c>
      <c r="K121" s="73">
        <f t="shared" si="44"/>
        <v>120519.99</v>
      </c>
      <c r="L121" s="73">
        <f t="shared" si="44"/>
        <v>125745.8208</v>
      </c>
      <c r="M121" s="73">
        <f t="shared" si="44"/>
        <v>130971.6516</v>
      </c>
      <c r="N121" s="73">
        <f t="shared" si="44"/>
        <v>135947.4824</v>
      </c>
      <c r="O121" s="73">
        <f>Sum(O111:O119)</f>
        <v>143153.3132</v>
      </c>
      <c r="P121" s="91"/>
      <c r="Q121" s="75">
        <f>SUM(Q111:Q120)</f>
        <v>79753.3132</v>
      </c>
      <c r="R121" s="66"/>
      <c r="S121" s="7"/>
      <c r="T121" s="7"/>
      <c r="U121" s="7"/>
      <c r="V121" s="7"/>
      <c r="W121" s="7"/>
      <c r="X121" s="7"/>
    </row>
    <row r="122" ht="15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15.0" customHeight="1">
      <c r="A123" s="7"/>
      <c r="B123" s="72" t="s">
        <v>103</v>
      </c>
      <c r="C123" s="92">
        <v>584.0</v>
      </c>
      <c r="D123" s="92">
        <v>595.0</v>
      </c>
      <c r="E123" s="92">
        <v>584.0</v>
      </c>
      <c r="F123" s="92">
        <v>605.0</v>
      </c>
      <c r="G123" s="92">
        <v>605.0</v>
      </c>
      <c r="H123" s="92">
        <v>605.0</v>
      </c>
      <c r="I123" s="92">
        <v>605.0</v>
      </c>
      <c r="J123" s="92">
        <v>605.0</v>
      </c>
      <c r="K123" s="92">
        <v>605.0</v>
      </c>
      <c r="L123" s="92">
        <v>605.0</v>
      </c>
      <c r="M123" s="92">
        <v>605.0</v>
      </c>
      <c r="N123" s="92">
        <v>605.0</v>
      </c>
      <c r="O123" s="92">
        <v>605.0</v>
      </c>
      <c r="P123" s="91"/>
      <c r="Q123" s="92">
        <v>605.0</v>
      </c>
      <c r="R123" s="7"/>
      <c r="S123" s="7"/>
      <c r="T123" s="7"/>
      <c r="U123" s="7"/>
      <c r="V123" s="7"/>
      <c r="W123" s="7"/>
      <c r="X123" s="7"/>
    </row>
    <row r="124" ht="15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5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5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5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5.0" customHeight="1">
      <c r="A128" s="7"/>
      <c r="B128" s="7"/>
      <c r="C128" s="7"/>
      <c r="D128" s="9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5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5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5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5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5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5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5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5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5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5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5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5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5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5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5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5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5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5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5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5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5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5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5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5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5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5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5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5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5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5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5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5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5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5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5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5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5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5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5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5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5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5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5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5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5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5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5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5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5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5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5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5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5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5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5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5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5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5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5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5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5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5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5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5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5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5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5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5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5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5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5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5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5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5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5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5">
    <mergeCell ref="B2:C2"/>
    <mergeCell ref="B3:C3"/>
    <mergeCell ref="B5:C5"/>
    <mergeCell ref="B6:C6"/>
    <mergeCell ref="B98:Q98"/>
  </mergeCells>
  <conditionalFormatting sqref="D9:O11 D38:O96 Q38:Q40 D102:O106 D109:O112 D114:O119">
    <cfRule type="cellIs" dxfId="0" priority="1" operator="lessThan">
      <formula>0</formula>
    </cfRule>
  </conditionalFormatting>
  <conditionalFormatting sqref="D14:O19">
    <cfRule type="cellIs" dxfId="0" priority="2" operator="lessThan">
      <formula>0</formula>
    </cfRule>
  </conditionalFormatting>
  <conditionalFormatting sqref="D22:O27">
    <cfRule type="cellIs" dxfId="0" priority="3" operator="lessThan">
      <formula>0</formula>
    </cfRule>
  </conditionalFormatting>
  <conditionalFormatting sqref="D29:O29 Q29">
    <cfRule type="cellIs" dxfId="0" priority="4" operator="lessThan">
      <formula>0</formula>
    </cfRule>
  </conditionalFormatting>
  <conditionalFormatting sqref="D32:O36 C40">
    <cfRule type="cellIs" dxfId="0" priority="5" operator="lessThan">
      <formula>0</formula>
    </cfRule>
  </conditionalFormatting>
  <conditionalFormatting sqref="Q9:Q11">
    <cfRule type="cellIs" dxfId="0" priority="6" operator="lessThan">
      <formula>0</formula>
    </cfRule>
  </conditionalFormatting>
  <conditionalFormatting sqref="Q14:Q19 Q32:Q36 Q54:Q60 Q84:Q90 Q92:Q96">
    <cfRule type="cellIs" dxfId="0" priority="7" operator="lessThan">
      <formula>0</formula>
    </cfRule>
  </conditionalFormatting>
  <conditionalFormatting sqref="Q22:Q27">
    <cfRule type="cellIs" dxfId="0" priority="8" operator="lessThan">
      <formula>0</formula>
    </cfRule>
  </conditionalFormatting>
  <conditionalFormatting sqref="Q42:Q52">
    <cfRule type="cellIs" dxfId="0" priority="9" operator="lessThan">
      <formula>0</formula>
    </cfRule>
  </conditionalFormatting>
  <conditionalFormatting sqref="Q62:Q68 Q70:Q82 Q102:Q121">
    <cfRule type="cellIs" dxfId="0" priority="10" operator="lessThan">
      <formula>0</formula>
    </cfRule>
  </conditionalFormatting>
  <drawing r:id="rId1"/>
  <extLst>
    <ext uri="{05C60535-1F16-4fd2-B633-F4F36F0B64E0}">
      <x14:sparklineGroups>
        <x14:sparklineGroup displayEmptyCellsAs="gap">
          <x14:colorSeries rgb="FF00B050"/>
          <x14:sparklines>
            <x14:sparkline>
              <xm:f>'CHARLEY 2026 Projections'!D9:O9</xm:f>
              <xm:sqref>C9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Projections'!D10:O10</xm:f>
              <xm:sqref>C10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Projections'!D11:O11</xm:f>
              <xm:sqref>C11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Projections'!D14:O14</xm:f>
              <xm:sqref>C14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Projections'!D15:O15</xm:f>
              <xm:sqref>C15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Projections'!D17:O17</xm:f>
              <xm:sqref>C16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Projections'!E18:O18</xm:f>
              <xm:sqref>C17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Projections'!E19:O19</xm:f>
              <xm:sqref>C18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Projections'!D20:O20</xm:f>
              <xm:sqref>C19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Projections'!D23:O23</xm:f>
              <xm:sqref>C22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Projections'!D24:O24</xm:f>
              <xm:sqref>C23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Projections'!D25:O25</xm:f>
              <xm:sqref>C24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Projections'!D26:O26</xm:f>
              <xm:sqref>C25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Projections'!D27:O27</xm:f>
              <xm:sqref>C26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Projections'!D28:O28</xm:f>
              <xm:sqref>C27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Projections'!D30:O30</xm:f>
              <xm:sqref>C29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Projections'!D33:O33</xm:f>
              <xm:sqref>C32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Projections'!D34:O34</xm:f>
              <xm:sqref>C33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Projections'!D36:O36</xm:f>
              <xm:sqref>C36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Projections'!D38:O38</xm:f>
              <xm:sqref>C38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Projections'!D42:O42</xm:f>
              <xm:sqref>C42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Projections'!D43:O43</xm:f>
              <xm:sqref>C43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Projections'!D44:O44</xm:f>
              <xm:sqref>C44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Projections'!D45:O45</xm:f>
              <xm:sqref>C45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Projections'!D46:O46</xm:f>
              <xm:sqref>C46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Projections'!D47:O47</xm:f>
              <xm:sqref>C47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Projections'!D48:O48</xm:f>
              <xm:sqref>C48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Projections'!D49:O49</xm:f>
              <xm:sqref>C49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Projections'!D50:O50</xm:f>
              <xm:sqref>C50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Projections'!D51:O51</xm:f>
              <xm:sqref>C51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Projections'!D54:O54</xm:f>
              <xm:sqref>C54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Projections'!D55:O55</xm:f>
              <xm:sqref>C55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Projections'!D56:O56</xm:f>
              <xm:sqref>C56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Projections'!D57:O57</xm:f>
              <xm:sqref>C57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Projections'!D58:O58</xm:f>
              <xm:sqref>C58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Projections'!D59:O59</xm:f>
              <xm:sqref>C59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Projections'!D62:O62</xm:f>
              <xm:sqref>C62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Projections'!D63:O63</xm:f>
              <xm:sqref>C63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Projections'!D64:O64</xm:f>
              <xm:sqref>C64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Projections'!D66:O66</xm:f>
              <xm:sqref>C66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Projections'!D67:O67</xm:f>
              <xm:sqref>C67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Projections'!D70:O70</xm:f>
              <xm:sqref>C70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Projections'!D71:O71</xm:f>
              <xm:sqref>C71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Projections'!D72:O72</xm:f>
              <xm:sqref>C72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Projections'!D73:O73</xm:f>
              <xm:sqref>C73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Projections'!D74:O74</xm:f>
              <xm:sqref>C74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Projections'!D75:O75</xm:f>
              <xm:sqref>C75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Projections'!D76:O76</xm:f>
              <xm:sqref>C76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Projections'!D77:O77</xm:f>
              <xm:sqref>C77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Projections'!D78:O78</xm:f>
              <xm:sqref>C78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Projections'!D79:O79</xm:f>
              <xm:sqref>C79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Projections'!D80:O80</xm:f>
              <xm:sqref>C80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Projections'!D81:O81</xm:f>
              <xm:sqref>C81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Projections'!D84:O84</xm:f>
              <xm:sqref>C84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Projections'!D85:O85</xm:f>
              <xm:sqref>C85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Projections'!D86:O86</xm:f>
              <xm:sqref>C86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Projections'!D87:O87</xm:f>
              <xm:sqref>C87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Projections'!D88:O88</xm:f>
              <xm:sqref>C88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Projections'!D89:O89</xm:f>
              <xm:sqref>C89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Projections'!D92:O92</xm:f>
              <xm:sqref>C92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Projections'!D93:O93</xm:f>
              <xm:sqref>C93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Projections'!D94:O94</xm:f>
              <xm:sqref>C94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Projections'!D96:O96</xm:f>
              <xm:sqref>C96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57.71"/>
    <col customWidth="1" min="3" max="3" width="15.86"/>
    <col customWidth="1" min="4" max="15" width="12.71"/>
    <col customWidth="1" min="16" max="16" width="3.71"/>
    <col customWidth="1" min="17" max="17" width="12.71"/>
    <col customWidth="1" min="18" max="18" width="3.71"/>
    <col customWidth="1" min="19" max="24" width="28.71"/>
  </cols>
  <sheetData>
    <row r="1" ht="49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1.75" customHeight="1">
      <c r="A2" s="3"/>
      <c r="B2" s="4" t="s">
        <v>1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</row>
    <row r="3" ht="34.5" customHeight="1">
      <c r="A3" s="8"/>
      <c r="B3" s="9" t="s">
        <v>2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8"/>
      <c r="S3" s="8"/>
      <c r="T3" s="8"/>
      <c r="U3" s="8"/>
      <c r="V3" s="8"/>
      <c r="W3" s="8"/>
      <c r="X3" s="8"/>
    </row>
    <row r="4" ht="15.0" customHeight="1">
      <c r="A4" s="7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S4" s="7"/>
      <c r="T4" s="7"/>
      <c r="U4" s="7"/>
      <c r="V4" s="7"/>
      <c r="W4" s="7"/>
      <c r="X4" s="7"/>
    </row>
    <row r="5" ht="21.75" customHeight="1">
      <c r="A5" s="3"/>
      <c r="B5" s="4" t="s">
        <v>3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7"/>
      <c r="V5" s="7"/>
      <c r="W5" s="7"/>
      <c r="X5" s="7"/>
    </row>
    <row r="6" ht="34.5" customHeight="1">
      <c r="A6" s="8"/>
      <c r="B6" s="9" t="s">
        <v>120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8"/>
      <c r="S6" s="8"/>
      <c r="T6" s="8"/>
      <c r="U6" s="8"/>
      <c r="V6" s="8"/>
      <c r="W6" s="8"/>
      <c r="X6" s="8"/>
    </row>
    <row r="7" ht="15.0" customHeight="1">
      <c r="A7" s="7"/>
      <c r="B7" s="14" t="s">
        <v>121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7"/>
      <c r="T7" s="7"/>
      <c r="U7" s="7"/>
      <c r="V7" s="7"/>
      <c r="W7" s="7"/>
      <c r="X7" s="7"/>
    </row>
    <row r="8" ht="19.5" customHeight="1">
      <c r="A8" s="8"/>
      <c r="B8" s="12"/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1"/>
      <c r="Q8" s="15" t="s">
        <v>19</v>
      </c>
      <c r="S8" s="8"/>
      <c r="T8" s="8"/>
      <c r="U8" s="8"/>
      <c r="V8" s="8"/>
      <c r="W8" s="8"/>
      <c r="X8" s="8"/>
    </row>
    <row r="9" ht="19.5" customHeight="1">
      <c r="A9" s="7"/>
      <c r="B9" s="16" t="s">
        <v>20</v>
      </c>
      <c r="C9" s="17"/>
      <c r="D9" s="18">
        <f t="shared" ref="D9:O9" si="1">D39</f>
        <v>6576</v>
      </c>
      <c r="E9" s="18">
        <f t="shared" si="1"/>
        <v>8179.16415</v>
      </c>
      <c r="F9" s="18">
        <f t="shared" si="1"/>
        <v>8179.16415</v>
      </c>
      <c r="G9" s="18">
        <f t="shared" si="1"/>
        <v>10779.16415</v>
      </c>
      <c r="H9" s="18">
        <f t="shared" si="1"/>
        <v>9512.49715</v>
      </c>
      <c r="I9" s="18">
        <f t="shared" si="1"/>
        <v>9762.49715</v>
      </c>
      <c r="J9" s="18">
        <f t="shared" si="1"/>
        <v>23500</v>
      </c>
      <c r="K9" s="18">
        <f t="shared" si="1"/>
        <v>25000</v>
      </c>
      <c r="L9" s="18">
        <f t="shared" si="1"/>
        <v>25000</v>
      </c>
      <c r="M9" s="18">
        <f t="shared" si="1"/>
        <v>25000</v>
      </c>
      <c r="N9" s="18">
        <f t="shared" si="1"/>
        <v>25000</v>
      </c>
      <c r="O9" s="18">
        <f t="shared" si="1"/>
        <v>25000</v>
      </c>
      <c r="P9" s="19"/>
      <c r="Q9" s="18">
        <f t="shared" ref="Q9:Q10" si="3">SUM(D9:O9)</f>
        <v>201488.4868</v>
      </c>
      <c r="S9" s="7"/>
      <c r="T9" s="7"/>
      <c r="U9" s="7"/>
      <c r="V9" s="7"/>
    </row>
    <row r="10" ht="19.5" customHeight="1">
      <c r="A10" s="7"/>
      <c r="B10" s="16" t="s">
        <v>21</v>
      </c>
      <c r="C10" s="20"/>
      <c r="D10" s="21">
        <f t="shared" ref="D10:O10" si="2">D96</f>
        <v>7798.5</v>
      </c>
      <c r="E10" s="21">
        <f t="shared" si="2"/>
        <v>7317.5</v>
      </c>
      <c r="F10" s="21">
        <f t="shared" si="2"/>
        <v>8527.5</v>
      </c>
      <c r="G10" s="21">
        <f t="shared" si="2"/>
        <v>6557.5</v>
      </c>
      <c r="H10" s="21">
        <f t="shared" si="2"/>
        <v>5932.5</v>
      </c>
      <c r="I10" s="21">
        <f t="shared" si="2"/>
        <v>8432.5</v>
      </c>
      <c r="J10" s="21">
        <f t="shared" si="2"/>
        <v>21502.5</v>
      </c>
      <c r="K10" s="21">
        <f t="shared" si="2"/>
        <v>17202.5</v>
      </c>
      <c r="L10" s="21">
        <f t="shared" si="2"/>
        <v>17202.5</v>
      </c>
      <c r="M10" s="21">
        <f t="shared" si="2"/>
        <v>17122.5</v>
      </c>
      <c r="N10" s="21">
        <f t="shared" si="2"/>
        <v>17122.5</v>
      </c>
      <c r="O10" s="21">
        <f t="shared" si="2"/>
        <v>17722.5</v>
      </c>
      <c r="P10" s="7"/>
      <c r="Q10" s="21">
        <f t="shared" si="3"/>
        <v>152441</v>
      </c>
      <c r="R10" s="7"/>
      <c r="S10" s="7"/>
      <c r="T10" s="7"/>
      <c r="U10" s="7"/>
      <c r="V10" s="7"/>
      <c r="W10" s="7"/>
      <c r="X10" s="7"/>
    </row>
    <row r="11" ht="21.75" customHeight="1">
      <c r="A11" s="7"/>
      <c r="B11" s="16" t="s">
        <v>22</v>
      </c>
      <c r="C11" s="22"/>
      <c r="D11" s="23">
        <f t="shared" ref="D11:O11" si="4">D9-D10</f>
        <v>-1222.5</v>
      </c>
      <c r="E11" s="23">
        <f t="shared" si="4"/>
        <v>861.66415</v>
      </c>
      <c r="F11" s="23">
        <f t="shared" si="4"/>
        <v>-348.33585</v>
      </c>
      <c r="G11" s="23">
        <f t="shared" si="4"/>
        <v>4221.66415</v>
      </c>
      <c r="H11" s="23">
        <f t="shared" si="4"/>
        <v>3579.99715</v>
      </c>
      <c r="I11" s="23">
        <f t="shared" si="4"/>
        <v>1329.99715</v>
      </c>
      <c r="J11" s="23">
        <f t="shared" si="4"/>
        <v>1997.5</v>
      </c>
      <c r="K11" s="23">
        <f t="shared" si="4"/>
        <v>7797.5</v>
      </c>
      <c r="L11" s="23">
        <f t="shared" si="4"/>
        <v>7797.5</v>
      </c>
      <c r="M11" s="23">
        <f t="shared" si="4"/>
        <v>7877.5</v>
      </c>
      <c r="N11" s="23">
        <f t="shared" si="4"/>
        <v>7877.5</v>
      </c>
      <c r="O11" s="23">
        <f t="shared" si="4"/>
        <v>7277.5</v>
      </c>
      <c r="P11" s="19"/>
      <c r="Q11" s="23">
        <f>Q9-Q10</f>
        <v>49047.48675</v>
      </c>
      <c r="S11" s="7"/>
      <c r="T11" s="7"/>
      <c r="U11" s="7"/>
      <c r="V11" s="7"/>
    </row>
    <row r="12" ht="19.5" customHeight="1">
      <c r="A12" s="7"/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9"/>
      <c r="Q12" s="7"/>
      <c r="S12" s="7"/>
      <c r="T12" s="7"/>
      <c r="U12" s="7"/>
      <c r="V12" s="7"/>
    </row>
    <row r="13" ht="31.5" customHeight="1">
      <c r="A13" s="8"/>
      <c r="B13" s="24" t="s">
        <v>23</v>
      </c>
      <c r="C13" s="15" t="s">
        <v>6</v>
      </c>
      <c r="D13" s="25" t="s">
        <v>7</v>
      </c>
      <c r="E13" s="25" t="s">
        <v>8</v>
      </c>
      <c r="F13" s="25" t="s">
        <v>9</v>
      </c>
      <c r="G13" s="25" t="s">
        <v>10</v>
      </c>
      <c r="H13" s="25" t="s">
        <v>11</v>
      </c>
      <c r="I13" s="25" t="s">
        <v>12</v>
      </c>
      <c r="J13" s="25" t="s">
        <v>13</v>
      </c>
      <c r="K13" s="25" t="s">
        <v>14</v>
      </c>
      <c r="L13" s="25" t="s">
        <v>15</v>
      </c>
      <c r="M13" s="25" t="s">
        <v>16</v>
      </c>
      <c r="N13" s="25" t="s">
        <v>17</v>
      </c>
      <c r="O13" s="25" t="s">
        <v>18</v>
      </c>
      <c r="P13" s="11"/>
      <c r="Q13" s="25" t="s">
        <v>19</v>
      </c>
      <c r="S13" s="8"/>
      <c r="T13" s="8"/>
      <c r="U13" s="8"/>
      <c r="V13" s="8"/>
      <c r="W13" s="8"/>
      <c r="X13" s="8"/>
    </row>
    <row r="14" ht="19.5" customHeight="1">
      <c r="A14" s="7"/>
      <c r="B14" s="26" t="s">
        <v>24</v>
      </c>
      <c r="C14" s="27"/>
      <c r="D14" s="28">
        <f>5000+5000</f>
        <v>10000</v>
      </c>
      <c r="E14" s="28">
        <v>10833.33</v>
      </c>
      <c r="F14" s="28">
        <v>10833.33</v>
      </c>
      <c r="G14" s="28">
        <v>10833.33</v>
      </c>
      <c r="H14" s="28">
        <v>10833.33</v>
      </c>
      <c r="I14" s="28">
        <v>10833.33</v>
      </c>
      <c r="J14" s="28">
        <v>25000.0</v>
      </c>
      <c r="K14" s="28">
        <v>25000.0</v>
      </c>
      <c r="L14" s="28">
        <v>25000.0</v>
      </c>
      <c r="M14" s="28">
        <v>25000.0</v>
      </c>
      <c r="N14" s="28">
        <v>25000.0</v>
      </c>
      <c r="O14" s="28">
        <v>25000.0</v>
      </c>
      <c r="P14" s="19"/>
      <c r="Q14" s="29">
        <f t="shared" ref="Q14:Q18" si="5">SUM(D14:O14)</f>
        <v>214166.65</v>
      </c>
      <c r="S14" s="7"/>
      <c r="T14" s="7"/>
      <c r="U14" s="7"/>
      <c r="V14" s="7"/>
    </row>
    <row r="15" ht="19.5" customHeight="1">
      <c r="A15" s="7"/>
      <c r="B15" s="26" t="s">
        <v>25</v>
      </c>
      <c r="C15" s="27"/>
      <c r="D15" s="28">
        <v>2500.0</v>
      </c>
      <c r="E15" s="28">
        <v>0.0</v>
      </c>
      <c r="F15" s="28">
        <v>0.0</v>
      </c>
      <c r="G15" s="28">
        <v>0.0</v>
      </c>
      <c r="H15" s="29">
        <v>0.0</v>
      </c>
      <c r="I15" s="29">
        <v>0.0</v>
      </c>
      <c r="J15" s="29">
        <v>0.0</v>
      </c>
      <c r="K15" s="29">
        <v>0.0</v>
      </c>
      <c r="L15" s="29">
        <v>0.0</v>
      </c>
      <c r="M15" s="29">
        <v>0.0</v>
      </c>
      <c r="N15" s="29">
        <v>0.0</v>
      </c>
      <c r="O15" s="28">
        <v>0.0</v>
      </c>
      <c r="P15" s="19"/>
      <c r="Q15" s="29">
        <f t="shared" si="5"/>
        <v>2500</v>
      </c>
      <c r="S15" s="7"/>
      <c r="T15" s="7"/>
      <c r="U15" s="7"/>
      <c r="V15" s="7"/>
    </row>
    <row r="16" ht="19.5" customHeight="1">
      <c r="A16" s="7"/>
      <c r="B16" s="26" t="s">
        <v>117</v>
      </c>
      <c r="C16" s="27"/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0.0</v>
      </c>
      <c r="L16" s="29">
        <v>0.0</v>
      </c>
      <c r="M16" s="29">
        <v>0.0</v>
      </c>
      <c r="N16" s="29">
        <v>0.0</v>
      </c>
      <c r="O16" s="29">
        <v>0.0</v>
      </c>
      <c r="P16" s="19"/>
      <c r="Q16" s="29">
        <f t="shared" si="5"/>
        <v>0</v>
      </c>
      <c r="S16" s="7"/>
      <c r="T16" s="7"/>
      <c r="U16" s="7"/>
      <c r="V16" s="7"/>
    </row>
    <row r="17" ht="19.5" customHeight="1">
      <c r="A17" s="7"/>
      <c r="B17" s="26" t="s">
        <v>28</v>
      </c>
      <c r="C17" s="27"/>
      <c r="D17" s="28"/>
      <c r="E17" s="29">
        <v>0.0</v>
      </c>
      <c r="F17" s="29">
        <v>0.0</v>
      </c>
      <c r="G17" s="28">
        <v>2400.0</v>
      </c>
      <c r="H17" s="28">
        <v>250.0</v>
      </c>
      <c r="I17" s="28">
        <v>500.0</v>
      </c>
      <c r="J17" s="101">
        <v>2000.0</v>
      </c>
      <c r="K17" s="29">
        <v>0.0</v>
      </c>
      <c r="L17" s="29">
        <v>0.0</v>
      </c>
      <c r="M17" s="29">
        <v>0.0</v>
      </c>
      <c r="N17" s="29">
        <v>0.0</v>
      </c>
      <c r="O17" s="29">
        <v>0.0</v>
      </c>
      <c r="P17" s="19"/>
      <c r="Q17" s="29">
        <f t="shared" si="5"/>
        <v>5150</v>
      </c>
      <c r="S17" s="7"/>
      <c r="T17" s="7"/>
      <c r="U17" s="7"/>
      <c r="V17" s="7"/>
    </row>
    <row r="18" ht="19.5" customHeight="1">
      <c r="A18" s="7"/>
      <c r="B18" s="26" t="s">
        <v>29</v>
      </c>
      <c r="C18" s="27"/>
      <c r="D18" s="28">
        <v>0.0</v>
      </c>
      <c r="E18" s="28">
        <v>0.0</v>
      </c>
      <c r="F18" s="29">
        <v>0.0</v>
      </c>
      <c r="G18" s="28">
        <v>200.0</v>
      </c>
      <c r="H18" s="29">
        <v>0.0</v>
      </c>
      <c r="I18" s="29">
        <v>0.0</v>
      </c>
      <c r="J18" s="28">
        <v>0.0</v>
      </c>
      <c r="K18" s="29">
        <v>0.0</v>
      </c>
      <c r="L18" s="29">
        <v>0.0</v>
      </c>
      <c r="M18" s="29">
        <v>0.0</v>
      </c>
      <c r="N18" s="29">
        <v>0.0</v>
      </c>
      <c r="O18" s="29">
        <v>0.0</v>
      </c>
      <c r="P18" s="19"/>
      <c r="Q18" s="29">
        <f t="shared" si="5"/>
        <v>200</v>
      </c>
      <c r="S18" s="7"/>
      <c r="T18" s="7"/>
      <c r="U18" s="7"/>
      <c r="V18" s="7"/>
    </row>
    <row r="19" ht="19.5" customHeight="1">
      <c r="A19" s="7"/>
      <c r="B19" s="16" t="s">
        <v>30</v>
      </c>
      <c r="C19" s="17"/>
      <c r="D19" s="18">
        <f t="shared" ref="D19:O19" si="6">SUM(D14:D18)</f>
        <v>12500</v>
      </c>
      <c r="E19" s="18">
        <f t="shared" si="6"/>
        <v>10833.33</v>
      </c>
      <c r="F19" s="18">
        <f t="shared" si="6"/>
        <v>10833.33</v>
      </c>
      <c r="G19" s="18">
        <f t="shared" si="6"/>
        <v>13433.33</v>
      </c>
      <c r="H19" s="18">
        <f t="shared" si="6"/>
        <v>11083.33</v>
      </c>
      <c r="I19" s="18">
        <f t="shared" si="6"/>
        <v>11333.33</v>
      </c>
      <c r="J19" s="18">
        <f t="shared" si="6"/>
        <v>27000</v>
      </c>
      <c r="K19" s="18">
        <f t="shared" si="6"/>
        <v>25000</v>
      </c>
      <c r="L19" s="18">
        <f t="shared" si="6"/>
        <v>25000</v>
      </c>
      <c r="M19" s="18">
        <f t="shared" si="6"/>
        <v>25000</v>
      </c>
      <c r="N19" s="18">
        <f t="shared" si="6"/>
        <v>25000</v>
      </c>
      <c r="O19" s="18">
        <f t="shared" si="6"/>
        <v>25000</v>
      </c>
      <c r="P19" s="19"/>
      <c r="Q19" s="18">
        <f>SUM(Q14:Q18)</f>
        <v>222016.65</v>
      </c>
      <c r="S19" s="7"/>
      <c r="T19" s="7"/>
      <c r="U19" s="7"/>
      <c r="V19" s="7"/>
    </row>
    <row r="20" ht="19.5" hidden="1" customHeight="1">
      <c r="A20" s="7"/>
      <c r="B20" s="7"/>
      <c r="C20" s="1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9"/>
      <c r="Q20" s="7"/>
      <c r="S20" s="7"/>
      <c r="T20" s="7"/>
      <c r="U20" s="7"/>
      <c r="V20" s="7"/>
    </row>
    <row r="21" ht="31.5" hidden="1" customHeight="1">
      <c r="A21" s="7"/>
      <c r="B21" s="24" t="s">
        <v>31</v>
      </c>
      <c r="C21" s="15" t="s">
        <v>6</v>
      </c>
      <c r="D21" s="15" t="s">
        <v>7</v>
      </c>
      <c r="E21" s="15" t="s">
        <v>8</v>
      </c>
      <c r="F21" s="15" t="s">
        <v>9</v>
      </c>
      <c r="G21" s="15" t="s">
        <v>10</v>
      </c>
      <c r="H21" s="15" t="s">
        <v>11</v>
      </c>
      <c r="I21" s="15" t="s">
        <v>12</v>
      </c>
      <c r="J21" s="15" t="s">
        <v>13</v>
      </c>
      <c r="K21" s="15" t="s">
        <v>14</v>
      </c>
      <c r="L21" s="15" t="s">
        <v>15</v>
      </c>
      <c r="M21" s="15" t="s">
        <v>16</v>
      </c>
      <c r="N21" s="15" t="s">
        <v>17</v>
      </c>
      <c r="O21" s="15" t="s">
        <v>18</v>
      </c>
      <c r="P21" s="19"/>
      <c r="Q21" s="25" t="s">
        <v>19</v>
      </c>
      <c r="S21" s="7"/>
      <c r="T21" s="7"/>
      <c r="U21" s="7"/>
      <c r="V21" s="7"/>
    </row>
    <row r="22" ht="19.5" hidden="1" customHeight="1">
      <c r="A22" s="30"/>
      <c r="B22" s="31" t="s">
        <v>32</v>
      </c>
      <c r="C22" s="27"/>
      <c r="D22" s="32">
        <v>0.0</v>
      </c>
      <c r="E22" s="32">
        <v>0.0</v>
      </c>
      <c r="F22" s="32">
        <v>0.0</v>
      </c>
      <c r="G22" s="33">
        <v>0.0</v>
      </c>
      <c r="H22" s="33">
        <v>0.0</v>
      </c>
      <c r="I22" s="33">
        <v>0.0</v>
      </c>
      <c r="J22" s="33">
        <v>0.0</v>
      </c>
      <c r="K22" s="33">
        <v>0.0</v>
      </c>
      <c r="L22" s="33">
        <v>0.0</v>
      </c>
      <c r="M22" s="33">
        <v>0.0</v>
      </c>
      <c r="N22" s="33">
        <v>0.0</v>
      </c>
      <c r="O22" s="33">
        <v>0.0</v>
      </c>
      <c r="P22" s="19"/>
      <c r="Q22" s="33">
        <f t="shared" ref="Q22:Q26" si="7">SUM(D22:O22)</f>
        <v>0</v>
      </c>
      <c r="S22" s="30"/>
      <c r="T22" s="30"/>
      <c r="U22" s="30"/>
      <c r="V22" s="30"/>
    </row>
    <row r="23" ht="19.5" hidden="1" customHeight="1">
      <c r="A23" s="7"/>
      <c r="B23" s="31" t="s">
        <v>33</v>
      </c>
      <c r="C23" s="27"/>
      <c r="D23" s="32">
        <v>0.0</v>
      </c>
      <c r="E23" s="32">
        <v>0.0</v>
      </c>
      <c r="F23" s="32">
        <v>0.0</v>
      </c>
      <c r="G23" s="33">
        <v>0.0</v>
      </c>
      <c r="H23" s="33">
        <v>0.0</v>
      </c>
      <c r="I23" s="33">
        <v>0.0</v>
      </c>
      <c r="J23" s="33">
        <v>0.0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  <c r="P23" s="34"/>
      <c r="Q23" s="33">
        <f t="shared" si="7"/>
        <v>0</v>
      </c>
      <c r="S23" s="7"/>
      <c r="T23" s="7"/>
      <c r="U23" s="7"/>
      <c r="V23" s="7"/>
    </row>
    <row r="24" ht="19.5" hidden="1" customHeight="1">
      <c r="A24" s="7"/>
      <c r="B24" s="31" t="s">
        <v>34</v>
      </c>
      <c r="C24" s="27"/>
      <c r="D24" s="32">
        <v>0.0</v>
      </c>
      <c r="E24" s="32">
        <v>0.0</v>
      </c>
      <c r="F24" s="32">
        <v>0.0</v>
      </c>
      <c r="G24" s="33">
        <v>0.0</v>
      </c>
      <c r="H24" s="33">
        <v>0.0</v>
      </c>
      <c r="I24" s="33">
        <v>0.0</v>
      </c>
      <c r="J24" s="33">
        <v>0.0</v>
      </c>
      <c r="K24" s="33">
        <v>0.0</v>
      </c>
      <c r="L24" s="33">
        <v>0.0</v>
      </c>
      <c r="M24" s="33">
        <v>0.0</v>
      </c>
      <c r="N24" s="33">
        <v>0.0</v>
      </c>
      <c r="O24" s="33">
        <v>0.0</v>
      </c>
      <c r="P24" s="34"/>
      <c r="Q24" s="33">
        <f t="shared" si="7"/>
        <v>0</v>
      </c>
      <c r="S24" s="7"/>
      <c r="T24" s="7"/>
      <c r="U24" s="7"/>
      <c r="V24" s="7"/>
    </row>
    <row r="25" ht="19.5" hidden="1" customHeight="1">
      <c r="A25" s="7"/>
      <c r="B25" s="31" t="s">
        <v>35</v>
      </c>
      <c r="C25" s="27"/>
      <c r="D25" s="32">
        <v>0.0</v>
      </c>
      <c r="E25" s="32">
        <v>0.0</v>
      </c>
      <c r="F25" s="32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4"/>
      <c r="Q25" s="33">
        <f t="shared" si="7"/>
        <v>0</v>
      </c>
      <c r="S25" s="7"/>
      <c r="T25" s="7"/>
      <c r="U25" s="7"/>
      <c r="V25" s="7"/>
    </row>
    <row r="26" ht="19.5" hidden="1" customHeight="1">
      <c r="A26" s="3"/>
      <c r="B26" s="31" t="s">
        <v>29</v>
      </c>
      <c r="C26" s="27"/>
      <c r="D26" s="32">
        <v>0.0</v>
      </c>
      <c r="E26" s="32">
        <v>0.0</v>
      </c>
      <c r="F26" s="32">
        <v>0.0</v>
      </c>
      <c r="G26" s="33">
        <v>0.0</v>
      </c>
      <c r="H26" s="33">
        <v>0.0</v>
      </c>
      <c r="I26" s="33">
        <v>0.0</v>
      </c>
      <c r="J26" s="33">
        <v>0.0</v>
      </c>
      <c r="K26" s="33">
        <v>0.0</v>
      </c>
      <c r="L26" s="33">
        <v>0.0</v>
      </c>
      <c r="M26" s="33">
        <v>0.0</v>
      </c>
      <c r="N26" s="33">
        <v>0.0</v>
      </c>
      <c r="O26" s="33">
        <v>0.0</v>
      </c>
      <c r="P26" s="34"/>
      <c r="Q26" s="33">
        <f t="shared" si="7"/>
        <v>0</v>
      </c>
      <c r="S26" s="3"/>
      <c r="T26" s="3"/>
      <c r="U26" s="3"/>
      <c r="V26" s="3"/>
    </row>
    <row r="27" ht="19.5" hidden="1" customHeight="1">
      <c r="A27" s="7"/>
      <c r="B27" s="16" t="s">
        <v>36</v>
      </c>
      <c r="C27" s="17"/>
      <c r="D27" s="18">
        <f t="shared" ref="D27:O27" si="8">SUM(D22:D26)</f>
        <v>0</v>
      </c>
      <c r="E27" s="18">
        <f t="shared" si="8"/>
        <v>0</v>
      </c>
      <c r="F27" s="18">
        <f t="shared" si="8"/>
        <v>0</v>
      </c>
      <c r="G27" s="18">
        <f t="shared" si="8"/>
        <v>0</v>
      </c>
      <c r="H27" s="18">
        <f t="shared" si="8"/>
        <v>0</v>
      </c>
      <c r="I27" s="18">
        <f t="shared" si="8"/>
        <v>0</v>
      </c>
      <c r="J27" s="18">
        <f t="shared" si="8"/>
        <v>0</v>
      </c>
      <c r="K27" s="18">
        <f t="shared" si="8"/>
        <v>0</v>
      </c>
      <c r="L27" s="18">
        <f t="shared" si="8"/>
        <v>0</v>
      </c>
      <c r="M27" s="18">
        <f t="shared" si="8"/>
        <v>0</v>
      </c>
      <c r="N27" s="18">
        <f t="shared" si="8"/>
        <v>0</v>
      </c>
      <c r="O27" s="18">
        <f t="shared" si="8"/>
        <v>0</v>
      </c>
      <c r="P27" s="19"/>
      <c r="Q27" s="18">
        <f>SUM(Q22:Q26)</f>
        <v>0</v>
      </c>
      <c r="S27" s="7"/>
      <c r="T27" s="7"/>
      <c r="U27" s="7"/>
      <c r="V27" s="7"/>
    </row>
    <row r="28" ht="19.5" customHeight="1">
      <c r="A28" s="7"/>
      <c r="B28" s="7"/>
      <c r="C28" s="1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19"/>
      <c r="Q28" s="7"/>
      <c r="S28" s="7"/>
      <c r="T28" s="7"/>
      <c r="U28" s="7"/>
      <c r="V28" s="7"/>
    </row>
    <row r="29" ht="19.5" customHeight="1">
      <c r="A29" s="7"/>
      <c r="B29" s="16" t="s">
        <v>37</v>
      </c>
      <c r="C29" s="17"/>
      <c r="D29" s="18">
        <f t="shared" ref="D29:O29" si="9">D19-D27</f>
        <v>12500</v>
      </c>
      <c r="E29" s="18">
        <f t="shared" si="9"/>
        <v>10833.33</v>
      </c>
      <c r="F29" s="18">
        <f t="shared" si="9"/>
        <v>10833.33</v>
      </c>
      <c r="G29" s="18">
        <f t="shared" si="9"/>
        <v>13433.33</v>
      </c>
      <c r="H29" s="18">
        <f t="shared" si="9"/>
        <v>11083.33</v>
      </c>
      <c r="I29" s="18">
        <f t="shared" si="9"/>
        <v>11333.33</v>
      </c>
      <c r="J29" s="18">
        <f t="shared" si="9"/>
        <v>27000</v>
      </c>
      <c r="K29" s="18">
        <f t="shared" si="9"/>
        <v>25000</v>
      </c>
      <c r="L29" s="18">
        <f t="shared" si="9"/>
        <v>25000</v>
      </c>
      <c r="M29" s="18">
        <f t="shared" si="9"/>
        <v>25000</v>
      </c>
      <c r="N29" s="18">
        <f t="shared" si="9"/>
        <v>25000</v>
      </c>
      <c r="O29" s="18">
        <f t="shared" si="9"/>
        <v>25000</v>
      </c>
      <c r="P29" s="19"/>
      <c r="Q29" s="18">
        <f>Q19-Q27</f>
        <v>222016.65</v>
      </c>
      <c r="S29" s="7"/>
      <c r="T29" s="7"/>
      <c r="U29" s="7"/>
      <c r="V29" s="7"/>
    </row>
    <row r="30" ht="19.5" customHeight="1">
      <c r="A30" s="7"/>
      <c r="B30" s="7"/>
      <c r="C30" s="19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9"/>
      <c r="Q30" s="7"/>
      <c r="S30" s="7"/>
      <c r="T30" s="7"/>
      <c r="U30" s="7"/>
      <c r="V30" s="7"/>
    </row>
    <row r="31" ht="31.5" customHeight="1">
      <c r="A31" s="7"/>
      <c r="B31" s="35" t="s">
        <v>38</v>
      </c>
      <c r="C31" s="15" t="s">
        <v>6</v>
      </c>
      <c r="D31" s="15" t="s">
        <v>7</v>
      </c>
      <c r="E31" s="15" t="s">
        <v>8</v>
      </c>
      <c r="F31" s="15" t="s">
        <v>9</v>
      </c>
      <c r="G31" s="15" t="s">
        <v>10</v>
      </c>
      <c r="H31" s="15" t="s">
        <v>11</v>
      </c>
      <c r="I31" s="15" t="s">
        <v>12</v>
      </c>
      <c r="J31" s="15" t="s">
        <v>13</v>
      </c>
      <c r="K31" s="15" t="s">
        <v>14</v>
      </c>
      <c r="L31" s="15" t="s">
        <v>15</v>
      </c>
      <c r="M31" s="15" t="s">
        <v>16</v>
      </c>
      <c r="N31" s="15" t="s">
        <v>17</v>
      </c>
      <c r="O31" s="15" t="s">
        <v>18</v>
      </c>
      <c r="P31" s="19"/>
      <c r="Q31" s="25" t="s">
        <v>19</v>
      </c>
      <c r="S31" s="7"/>
      <c r="T31" s="7"/>
      <c r="U31" s="7"/>
      <c r="V31" s="7"/>
    </row>
    <row r="32" ht="19.5" customHeight="1">
      <c r="A32" s="36">
        <v>0.145</v>
      </c>
      <c r="B32" s="26" t="s">
        <v>39</v>
      </c>
      <c r="C32" s="27"/>
      <c r="D32" s="32">
        <f>900+450+900</f>
        <v>2250</v>
      </c>
      <c r="E32" s="32">
        <f t="shared" ref="E32:I32" si="10">E14*$A$32</f>
        <v>1570.83285</v>
      </c>
      <c r="F32" s="32">
        <f t="shared" si="10"/>
        <v>1570.83285</v>
      </c>
      <c r="G32" s="32">
        <f t="shared" si="10"/>
        <v>1570.83285</v>
      </c>
      <c r="H32" s="32">
        <f t="shared" si="10"/>
        <v>1570.83285</v>
      </c>
      <c r="I32" s="32">
        <f t="shared" si="10"/>
        <v>1570.83285</v>
      </c>
      <c r="J32" s="32">
        <v>0.0</v>
      </c>
      <c r="K32" s="32">
        <v>0.0</v>
      </c>
      <c r="L32" s="32">
        <v>0.0</v>
      </c>
      <c r="M32" s="32">
        <v>0.0</v>
      </c>
      <c r="N32" s="32">
        <v>0.0</v>
      </c>
      <c r="O32" s="32">
        <v>0.0</v>
      </c>
      <c r="P32" s="19"/>
      <c r="Q32" s="33">
        <f t="shared" ref="Q32:Q34" si="12">SUM(D32:O32)</f>
        <v>10104.16425</v>
      </c>
      <c r="S32" s="30"/>
      <c r="T32" s="30"/>
      <c r="U32" s="30"/>
      <c r="V32" s="30"/>
    </row>
    <row r="33" ht="19.5" customHeight="1">
      <c r="A33" s="36">
        <v>0.1</v>
      </c>
      <c r="B33" s="26" t="s">
        <v>40</v>
      </c>
      <c r="C33" s="27"/>
      <c r="D33" s="32">
        <f>512+250+512</f>
        <v>1274</v>
      </c>
      <c r="E33" s="32">
        <f t="shared" ref="E33:G33" si="11">E14*$A$33</f>
        <v>1083.333</v>
      </c>
      <c r="F33" s="32">
        <f t="shared" si="11"/>
        <v>1083.333</v>
      </c>
      <c r="G33" s="32">
        <f t="shared" si="11"/>
        <v>1083.333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4"/>
      <c r="Q33" s="33">
        <f t="shared" si="12"/>
        <v>4523.999</v>
      </c>
      <c r="S33" s="7"/>
      <c r="T33" s="7"/>
      <c r="U33" s="7"/>
      <c r="V33" s="7"/>
    </row>
    <row r="34" ht="19.5" customHeight="1">
      <c r="A34" s="54"/>
      <c r="B34" s="94" t="s">
        <v>106</v>
      </c>
      <c r="C34" s="95"/>
      <c r="D34" s="96">
        <v>2400.0</v>
      </c>
      <c r="E34" s="97"/>
      <c r="F34" s="98">
        <v>0.0</v>
      </c>
      <c r="G34" s="98">
        <v>0.0</v>
      </c>
      <c r="H34" s="98">
        <v>0.0</v>
      </c>
      <c r="I34" s="98">
        <v>0.0</v>
      </c>
      <c r="J34" s="98">
        <v>0.0</v>
      </c>
      <c r="K34" s="98">
        <v>0.0</v>
      </c>
      <c r="L34" s="98">
        <v>0.0</v>
      </c>
      <c r="M34" s="98">
        <v>0.0</v>
      </c>
      <c r="N34" s="98">
        <v>0.0</v>
      </c>
      <c r="O34" s="98">
        <v>0.0</v>
      </c>
      <c r="P34" s="99"/>
      <c r="Q34" s="98">
        <f t="shared" si="12"/>
        <v>2400</v>
      </c>
      <c r="R34" s="60"/>
      <c r="S34" s="54"/>
      <c r="T34" s="54"/>
      <c r="U34" s="54"/>
      <c r="V34" s="54"/>
      <c r="W34" s="60"/>
      <c r="X34" s="60"/>
      <c r="Y34" s="60"/>
      <c r="Z34" s="60"/>
    </row>
    <row r="35" ht="19.5" customHeight="1">
      <c r="A35" s="3"/>
      <c r="B35" s="26" t="s">
        <v>122</v>
      </c>
      <c r="C35" s="27"/>
      <c r="D35" s="32">
        <v>0.0</v>
      </c>
      <c r="E35" s="32"/>
      <c r="F35" s="32">
        <v>0.0</v>
      </c>
      <c r="G35" s="33">
        <v>0.0</v>
      </c>
      <c r="H35" s="33">
        <v>0.0</v>
      </c>
      <c r="I35" s="33">
        <v>0.0</v>
      </c>
      <c r="J35" s="102">
        <v>3500.0</v>
      </c>
      <c r="K35" s="32">
        <v>0.0</v>
      </c>
      <c r="L35" s="32">
        <v>0.0</v>
      </c>
      <c r="M35" s="32">
        <v>0.0</v>
      </c>
      <c r="N35" s="32">
        <v>0.0</v>
      </c>
      <c r="O35" s="32">
        <v>0.0</v>
      </c>
      <c r="P35" s="34"/>
      <c r="Q35" s="33"/>
      <c r="S35" s="3"/>
      <c r="T35" s="3"/>
      <c r="U35" s="3"/>
      <c r="V35" s="3"/>
    </row>
    <row r="36" ht="19.5" customHeight="1">
      <c r="A36" s="3"/>
      <c r="B36" s="31" t="s">
        <v>29</v>
      </c>
      <c r="C36" s="27"/>
      <c r="D36" s="32">
        <v>0.0</v>
      </c>
      <c r="E36" s="32"/>
      <c r="F36" s="32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0.0</v>
      </c>
      <c r="O36" s="33">
        <v>0.0</v>
      </c>
      <c r="P36" s="34"/>
      <c r="Q36" s="33">
        <f>SUM(D36:O36)</f>
        <v>0</v>
      </c>
      <c r="S36" s="3"/>
      <c r="T36" s="3"/>
      <c r="U36" s="3"/>
      <c r="V36" s="3"/>
    </row>
    <row r="37" ht="19.5" customHeight="1">
      <c r="A37" s="7"/>
      <c r="B37" s="16" t="s">
        <v>41</v>
      </c>
      <c r="C37" s="17"/>
      <c r="D37" s="18">
        <f t="shared" ref="D37:O37" si="13">SUM(D32:D36)</f>
        <v>5924</v>
      </c>
      <c r="E37" s="18">
        <f t="shared" si="13"/>
        <v>2654.16585</v>
      </c>
      <c r="F37" s="18">
        <f t="shared" si="13"/>
        <v>2654.16585</v>
      </c>
      <c r="G37" s="18">
        <f t="shared" si="13"/>
        <v>2654.16585</v>
      </c>
      <c r="H37" s="18">
        <f t="shared" si="13"/>
        <v>1570.83285</v>
      </c>
      <c r="I37" s="18">
        <f t="shared" si="13"/>
        <v>1570.83285</v>
      </c>
      <c r="J37" s="103">
        <f t="shared" si="13"/>
        <v>3500</v>
      </c>
      <c r="K37" s="18">
        <f t="shared" si="13"/>
        <v>0</v>
      </c>
      <c r="L37" s="18">
        <f t="shared" si="13"/>
        <v>0</v>
      </c>
      <c r="M37" s="18">
        <f t="shared" si="13"/>
        <v>0</v>
      </c>
      <c r="N37" s="18">
        <f t="shared" si="13"/>
        <v>0</v>
      </c>
      <c r="O37" s="18">
        <f t="shared" si="13"/>
        <v>0</v>
      </c>
      <c r="P37" s="19"/>
      <c r="Q37" s="18">
        <f>SUM(Q32:Q36)</f>
        <v>17028.16325</v>
      </c>
      <c r="S37" s="7"/>
      <c r="T37" s="7"/>
      <c r="U37" s="7"/>
      <c r="V37" s="7"/>
    </row>
    <row r="38" ht="19.5" customHeight="1">
      <c r="A38" s="7"/>
      <c r="B38" s="7"/>
      <c r="C38" s="19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19"/>
      <c r="Q38" s="7"/>
      <c r="S38" s="7"/>
      <c r="T38" s="7"/>
      <c r="U38" s="7"/>
      <c r="V38" s="7"/>
    </row>
    <row r="39" ht="19.5" customHeight="1">
      <c r="A39" s="7"/>
      <c r="B39" s="16" t="s">
        <v>20</v>
      </c>
      <c r="C39" s="17"/>
      <c r="D39" s="18">
        <f t="shared" ref="D39:O39" si="14">D19-D27-D37</f>
        <v>6576</v>
      </c>
      <c r="E39" s="18">
        <f t="shared" si="14"/>
        <v>8179.16415</v>
      </c>
      <c r="F39" s="18">
        <f t="shared" si="14"/>
        <v>8179.16415</v>
      </c>
      <c r="G39" s="18">
        <f t="shared" si="14"/>
        <v>10779.16415</v>
      </c>
      <c r="H39" s="18">
        <f t="shared" si="14"/>
        <v>9512.49715</v>
      </c>
      <c r="I39" s="18">
        <f t="shared" si="14"/>
        <v>9762.49715</v>
      </c>
      <c r="J39" s="18">
        <f t="shared" si="14"/>
        <v>23500</v>
      </c>
      <c r="K39" s="18">
        <f t="shared" si="14"/>
        <v>25000</v>
      </c>
      <c r="L39" s="18">
        <f t="shared" si="14"/>
        <v>25000</v>
      </c>
      <c r="M39" s="18">
        <f t="shared" si="14"/>
        <v>25000</v>
      </c>
      <c r="N39" s="18">
        <f t="shared" si="14"/>
        <v>25000</v>
      </c>
      <c r="O39" s="18">
        <f t="shared" si="14"/>
        <v>25000</v>
      </c>
      <c r="P39" s="19"/>
      <c r="Q39" s="18">
        <f>Q19-Q27-Q37</f>
        <v>204988.4868</v>
      </c>
      <c r="S39" s="7"/>
      <c r="T39" s="7"/>
      <c r="U39" s="7"/>
      <c r="V39" s="7"/>
    </row>
    <row r="40" ht="19.5" customHeight="1">
      <c r="A40" s="7"/>
      <c r="B40" s="12"/>
      <c r="C40" s="19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9"/>
      <c r="Q40" s="13"/>
      <c r="S40" s="7"/>
      <c r="T40" s="7"/>
      <c r="U40" s="7"/>
      <c r="V40" s="7"/>
    </row>
    <row r="41" ht="31.5" customHeight="1">
      <c r="A41" s="7"/>
      <c r="B41" s="24" t="s">
        <v>42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8"/>
      <c r="P41" s="19"/>
      <c r="Q41" s="39"/>
      <c r="S41" s="7"/>
      <c r="T41" s="7"/>
      <c r="U41" s="7"/>
      <c r="V41" s="7"/>
    </row>
    <row r="42" ht="19.5" hidden="1" customHeight="1">
      <c r="A42" s="7"/>
      <c r="B42" s="40" t="s">
        <v>43</v>
      </c>
      <c r="C42" s="25" t="s">
        <v>6</v>
      </c>
      <c r="D42" s="41" t="s">
        <v>7</v>
      </c>
      <c r="E42" s="41" t="s">
        <v>8</v>
      </c>
      <c r="F42" s="41" t="s">
        <v>9</v>
      </c>
      <c r="G42" s="41" t="s">
        <v>10</v>
      </c>
      <c r="H42" s="41" t="s">
        <v>11</v>
      </c>
      <c r="I42" s="41" t="s">
        <v>12</v>
      </c>
      <c r="J42" s="41" t="s">
        <v>13</v>
      </c>
      <c r="K42" s="41" t="s">
        <v>14</v>
      </c>
      <c r="L42" s="41" t="s">
        <v>15</v>
      </c>
      <c r="M42" s="41" t="s">
        <v>16</v>
      </c>
      <c r="N42" s="41" t="s">
        <v>17</v>
      </c>
      <c r="O42" s="41" t="s">
        <v>18</v>
      </c>
      <c r="P42" s="19"/>
      <c r="Q42" s="25" t="s">
        <v>19</v>
      </c>
      <c r="S42" s="7"/>
      <c r="T42" s="7"/>
      <c r="U42" s="7"/>
      <c r="V42" s="7"/>
    </row>
    <row r="43" ht="19.5" hidden="1" customHeight="1">
      <c r="A43" s="7"/>
      <c r="B43" s="31" t="s">
        <v>44</v>
      </c>
      <c r="C43" s="27"/>
      <c r="D43" s="28">
        <v>0.0</v>
      </c>
      <c r="E43" s="28">
        <v>0.0</v>
      </c>
      <c r="F43" s="28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42"/>
      <c r="Q43" s="29">
        <f t="shared" ref="Q43:Q51" si="15">SUM(D43:O43)</f>
        <v>0</v>
      </c>
      <c r="R43" s="7"/>
      <c r="S43" s="7"/>
      <c r="T43" s="7"/>
      <c r="U43" s="7"/>
      <c r="V43" s="7"/>
      <c r="W43" s="7"/>
      <c r="X43" s="7"/>
    </row>
    <row r="44" ht="19.5" hidden="1" customHeight="1">
      <c r="A44" s="43"/>
      <c r="B44" s="31" t="s">
        <v>45</v>
      </c>
      <c r="C44" s="27"/>
      <c r="D44" s="29">
        <v>0.0</v>
      </c>
      <c r="E44" s="29">
        <v>0.0</v>
      </c>
      <c r="F44" s="29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19"/>
      <c r="Q44" s="29">
        <f t="shared" si="15"/>
        <v>0</v>
      </c>
      <c r="S44" s="43"/>
      <c r="T44" s="43"/>
      <c r="U44" s="43"/>
      <c r="V44" s="43"/>
      <c r="W44" s="43"/>
      <c r="X44" s="43"/>
      <c r="Y44" s="43"/>
      <c r="Z44" s="43"/>
    </row>
    <row r="45" ht="19.5" hidden="1" customHeight="1">
      <c r="A45" s="7"/>
      <c r="B45" s="31" t="s">
        <v>46</v>
      </c>
      <c r="C45" s="27"/>
      <c r="D45" s="28">
        <v>0.0</v>
      </c>
      <c r="E45" s="28">
        <v>0.0</v>
      </c>
      <c r="F45" s="28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42"/>
      <c r="Q45" s="29">
        <f t="shared" si="15"/>
        <v>0</v>
      </c>
      <c r="R45" s="7"/>
      <c r="S45" s="7"/>
      <c r="T45" s="7"/>
      <c r="U45" s="7"/>
      <c r="V45" s="7"/>
      <c r="W45" s="7"/>
      <c r="X45" s="7"/>
    </row>
    <row r="46" ht="19.5" hidden="1" customHeight="1">
      <c r="A46" s="7"/>
      <c r="B46" s="31" t="s">
        <v>47</v>
      </c>
      <c r="C46" s="27"/>
      <c r="D46" s="29">
        <v>0.0</v>
      </c>
      <c r="E46" s="29">
        <v>0.0</v>
      </c>
      <c r="F46" s="29">
        <v>0.0</v>
      </c>
      <c r="G46" s="29">
        <v>0.0</v>
      </c>
      <c r="H46" s="29">
        <v>0.0</v>
      </c>
      <c r="I46" s="29">
        <v>0.0</v>
      </c>
      <c r="J46" s="29">
        <v>0.0</v>
      </c>
      <c r="K46" s="29">
        <v>0.0</v>
      </c>
      <c r="L46" s="29">
        <v>0.0</v>
      </c>
      <c r="M46" s="29">
        <v>0.0</v>
      </c>
      <c r="N46" s="29">
        <v>0.0</v>
      </c>
      <c r="O46" s="29">
        <v>0.0</v>
      </c>
      <c r="P46" s="19"/>
      <c r="Q46" s="29">
        <f t="shared" si="15"/>
        <v>0</v>
      </c>
      <c r="S46" s="7"/>
      <c r="T46" s="7"/>
      <c r="U46" s="7"/>
      <c r="V46" s="7"/>
      <c r="W46" s="7"/>
      <c r="X46" s="7"/>
    </row>
    <row r="47" ht="19.5" hidden="1" customHeight="1">
      <c r="A47" s="7"/>
      <c r="B47" s="31" t="s">
        <v>48</v>
      </c>
      <c r="C47" s="27"/>
      <c r="D47" s="29">
        <v>0.0</v>
      </c>
      <c r="E47" s="29">
        <v>0.0</v>
      </c>
      <c r="F47" s="29">
        <v>0.0</v>
      </c>
      <c r="G47" s="29">
        <v>0.0</v>
      </c>
      <c r="H47" s="29">
        <v>0.0</v>
      </c>
      <c r="I47" s="29">
        <v>0.0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9">
        <v>0.0</v>
      </c>
      <c r="P47" s="19"/>
      <c r="Q47" s="29">
        <f t="shared" si="15"/>
        <v>0</v>
      </c>
      <c r="S47" s="7"/>
      <c r="T47" s="7"/>
      <c r="U47" s="7"/>
      <c r="V47" s="7"/>
      <c r="W47" s="7"/>
      <c r="X47" s="7"/>
    </row>
    <row r="48" ht="19.5" hidden="1" customHeight="1">
      <c r="A48" s="7"/>
      <c r="B48" s="31" t="s">
        <v>49</v>
      </c>
      <c r="C48" s="27"/>
      <c r="D48" s="29">
        <v>0.0</v>
      </c>
      <c r="E48" s="29">
        <v>0.0</v>
      </c>
      <c r="F48" s="29">
        <v>0.0</v>
      </c>
      <c r="G48" s="29">
        <v>0.0</v>
      </c>
      <c r="H48" s="29">
        <v>0.0</v>
      </c>
      <c r="I48" s="29">
        <v>0.0</v>
      </c>
      <c r="J48" s="29">
        <v>0.0</v>
      </c>
      <c r="K48" s="29">
        <v>0.0</v>
      </c>
      <c r="L48" s="29">
        <v>0.0</v>
      </c>
      <c r="M48" s="29">
        <v>0.0</v>
      </c>
      <c r="N48" s="29">
        <v>0.0</v>
      </c>
      <c r="O48" s="29">
        <v>0.0</v>
      </c>
      <c r="P48" s="42"/>
      <c r="Q48" s="29">
        <f t="shared" si="15"/>
        <v>0</v>
      </c>
      <c r="R48" s="7"/>
      <c r="S48" s="7"/>
      <c r="T48" s="7"/>
      <c r="U48" s="7"/>
      <c r="V48" s="7"/>
      <c r="W48" s="7"/>
      <c r="X48" s="7"/>
    </row>
    <row r="49" ht="19.5" hidden="1" customHeight="1">
      <c r="A49" s="43"/>
      <c r="B49" s="31" t="s">
        <v>50</v>
      </c>
      <c r="C49" s="27"/>
      <c r="D49" s="29">
        <v>0.0</v>
      </c>
      <c r="E49" s="29">
        <v>0.0</v>
      </c>
      <c r="F49" s="29">
        <v>0.0</v>
      </c>
      <c r="G49" s="29">
        <v>0.0</v>
      </c>
      <c r="H49" s="29">
        <v>0.0</v>
      </c>
      <c r="I49" s="29">
        <v>0.0</v>
      </c>
      <c r="J49" s="29">
        <v>0.0</v>
      </c>
      <c r="K49" s="29">
        <v>0.0</v>
      </c>
      <c r="L49" s="29">
        <v>0.0</v>
      </c>
      <c r="M49" s="29">
        <v>0.0</v>
      </c>
      <c r="N49" s="29">
        <v>0.0</v>
      </c>
      <c r="O49" s="29">
        <v>0.0</v>
      </c>
      <c r="P49" s="19"/>
      <c r="Q49" s="29">
        <f t="shared" si="15"/>
        <v>0</v>
      </c>
      <c r="S49" s="43"/>
      <c r="T49" s="43"/>
      <c r="U49" s="43"/>
      <c r="V49" s="43"/>
      <c r="W49" s="43"/>
      <c r="X49" s="43"/>
      <c r="Y49" s="43"/>
      <c r="Z49" s="43"/>
    </row>
    <row r="50" ht="19.5" hidden="1" customHeight="1">
      <c r="A50" s="7"/>
      <c r="B50" s="31" t="s">
        <v>51</v>
      </c>
      <c r="C50" s="27"/>
      <c r="D50" s="29">
        <v>0.0</v>
      </c>
      <c r="E50" s="28">
        <v>0.0</v>
      </c>
      <c r="F50" s="29">
        <v>0.0</v>
      </c>
      <c r="G50" s="29">
        <v>0.0</v>
      </c>
      <c r="H50" s="29">
        <v>0.0</v>
      </c>
      <c r="I50" s="29">
        <v>0.0</v>
      </c>
      <c r="J50" s="29">
        <v>0.0</v>
      </c>
      <c r="K50" s="29">
        <v>0.0</v>
      </c>
      <c r="L50" s="29">
        <v>0.0</v>
      </c>
      <c r="M50" s="29">
        <v>0.0</v>
      </c>
      <c r="N50" s="29">
        <v>0.0</v>
      </c>
      <c r="O50" s="29">
        <v>0.0</v>
      </c>
      <c r="P50" s="42"/>
      <c r="Q50" s="29">
        <f t="shared" si="15"/>
        <v>0</v>
      </c>
      <c r="R50" s="7"/>
      <c r="S50" s="7"/>
      <c r="T50" s="7"/>
      <c r="U50" s="7"/>
      <c r="V50" s="7"/>
      <c r="W50" s="7"/>
      <c r="X50" s="7"/>
    </row>
    <row r="51" ht="19.5" hidden="1" customHeight="1">
      <c r="A51" s="7"/>
      <c r="B51" s="31" t="s">
        <v>29</v>
      </c>
      <c r="C51" s="27"/>
      <c r="D51" s="29">
        <v>0.0</v>
      </c>
      <c r="E51" s="29">
        <v>0.0</v>
      </c>
      <c r="F51" s="29">
        <v>0.0</v>
      </c>
      <c r="G51" s="29">
        <v>0.0</v>
      </c>
      <c r="H51" s="29">
        <v>0.0</v>
      </c>
      <c r="I51" s="29">
        <v>0.0</v>
      </c>
      <c r="J51" s="29">
        <v>0.0</v>
      </c>
      <c r="K51" s="29">
        <v>0.0</v>
      </c>
      <c r="L51" s="29">
        <v>0.0</v>
      </c>
      <c r="M51" s="29">
        <v>0.0</v>
      </c>
      <c r="N51" s="29">
        <v>0.0</v>
      </c>
      <c r="O51" s="29">
        <v>0.0</v>
      </c>
      <c r="P51" s="19"/>
      <c r="Q51" s="29">
        <f t="shared" si="15"/>
        <v>0</v>
      </c>
      <c r="S51" s="7"/>
      <c r="T51" s="7"/>
      <c r="U51" s="7"/>
      <c r="V51" s="7"/>
      <c r="W51" s="7"/>
      <c r="X51" s="7"/>
    </row>
    <row r="52" ht="19.5" hidden="1" customHeight="1">
      <c r="A52" s="7"/>
      <c r="B52" s="16" t="s">
        <v>52</v>
      </c>
      <c r="C52" s="17"/>
      <c r="D52" s="18">
        <f t="shared" ref="D52:O52" si="16">SUM(D43:D51)</f>
        <v>0</v>
      </c>
      <c r="E52" s="18">
        <f t="shared" si="16"/>
        <v>0</v>
      </c>
      <c r="F52" s="18">
        <f t="shared" si="16"/>
        <v>0</v>
      </c>
      <c r="G52" s="18">
        <f t="shared" si="16"/>
        <v>0</v>
      </c>
      <c r="H52" s="18">
        <f t="shared" si="16"/>
        <v>0</v>
      </c>
      <c r="I52" s="18">
        <f t="shared" si="16"/>
        <v>0</v>
      </c>
      <c r="J52" s="18">
        <f t="shared" si="16"/>
        <v>0</v>
      </c>
      <c r="K52" s="18">
        <f t="shared" si="16"/>
        <v>0</v>
      </c>
      <c r="L52" s="18">
        <f t="shared" si="16"/>
        <v>0</v>
      </c>
      <c r="M52" s="18">
        <f t="shared" si="16"/>
        <v>0</v>
      </c>
      <c r="N52" s="18">
        <f t="shared" si="16"/>
        <v>0</v>
      </c>
      <c r="O52" s="18">
        <f t="shared" si="16"/>
        <v>0</v>
      </c>
      <c r="P52" s="42"/>
      <c r="Q52" s="18">
        <f>SUM(Q43:Q51)</f>
        <v>0</v>
      </c>
      <c r="R52" s="7"/>
      <c r="S52" s="7"/>
      <c r="T52" s="7"/>
      <c r="U52" s="7"/>
      <c r="V52" s="7"/>
      <c r="W52" s="7"/>
      <c r="X52" s="7"/>
    </row>
    <row r="53" ht="19.5" hidden="1" customHeight="1">
      <c r="A53" s="7"/>
      <c r="B53" s="44"/>
      <c r="C53" s="7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7"/>
      <c r="Q53" s="44"/>
      <c r="R53" s="7"/>
      <c r="S53" s="7"/>
      <c r="T53" s="7"/>
      <c r="U53" s="7"/>
      <c r="V53" s="7"/>
      <c r="W53" s="7"/>
      <c r="X53" s="7"/>
    </row>
    <row r="54" ht="19.5" hidden="1" customHeight="1">
      <c r="A54" s="7"/>
      <c r="B54" s="45" t="s">
        <v>53</v>
      </c>
      <c r="C54" s="25" t="s">
        <v>6</v>
      </c>
      <c r="D54" s="25" t="s">
        <v>7</v>
      </c>
      <c r="E54" s="25" t="s">
        <v>8</v>
      </c>
      <c r="F54" s="25" t="s">
        <v>9</v>
      </c>
      <c r="G54" s="25" t="s">
        <v>10</v>
      </c>
      <c r="H54" s="25" t="s">
        <v>11</v>
      </c>
      <c r="I54" s="25" t="s">
        <v>12</v>
      </c>
      <c r="J54" s="25" t="s">
        <v>13</v>
      </c>
      <c r="K54" s="25" t="s">
        <v>14</v>
      </c>
      <c r="L54" s="25" t="s">
        <v>15</v>
      </c>
      <c r="M54" s="25" t="s">
        <v>16</v>
      </c>
      <c r="N54" s="25" t="s">
        <v>17</v>
      </c>
      <c r="O54" s="25" t="s">
        <v>18</v>
      </c>
      <c r="P54" s="7"/>
      <c r="Q54" s="25" t="s">
        <v>19</v>
      </c>
      <c r="R54" s="7"/>
      <c r="S54" s="7"/>
      <c r="T54" s="7"/>
      <c r="U54" s="7"/>
      <c r="V54" s="7"/>
      <c r="W54" s="7"/>
      <c r="X54" s="7"/>
    </row>
    <row r="55" ht="19.5" hidden="1" customHeight="1">
      <c r="A55" s="7"/>
      <c r="B55" s="31" t="s">
        <v>54</v>
      </c>
      <c r="C55" s="27"/>
      <c r="D55" s="29">
        <v>0.0</v>
      </c>
      <c r="E55" s="28">
        <v>0.0</v>
      </c>
      <c r="F55" s="29">
        <v>0.0</v>
      </c>
      <c r="G55" s="29">
        <v>0.0</v>
      </c>
      <c r="H55" s="29">
        <v>0.0</v>
      </c>
      <c r="I55" s="29">
        <v>0.0</v>
      </c>
      <c r="J55" s="29">
        <v>0.0</v>
      </c>
      <c r="K55" s="29">
        <v>0.0</v>
      </c>
      <c r="L55" s="29">
        <v>0.0</v>
      </c>
      <c r="M55" s="29">
        <v>0.0</v>
      </c>
      <c r="N55" s="29">
        <v>0.0</v>
      </c>
      <c r="O55" s="29">
        <v>0.0</v>
      </c>
      <c r="P55" s="7"/>
      <c r="Q55" s="29">
        <f t="shared" ref="Q55:Q59" si="17">SUM(D55:O55)</f>
        <v>0</v>
      </c>
      <c r="R55" s="7"/>
      <c r="S55" s="7"/>
      <c r="T55" s="7"/>
      <c r="U55" s="7"/>
      <c r="V55" s="7"/>
      <c r="W55" s="7"/>
      <c r="X55" s="7"/>
    </row>
    <row r="56" ht="19.5" hidden="1" customHeight="1">
      <c r="A56" s="7"/>
      <c r="B56" s="31" t="s">
        <v>55</v>
      </c>
      <c r="C56" s="27"/>
      <c r="D56" s="29">
        <v>0.0</v>
      </c>
      <c r="E56" s="29">
        <v>0.0</v>
      </c>
      <c r="F56" s="29">
        <v>0.0</v>
      </c>
      <c r="G56" s="29">
        <v>0.0</v>
      </c>
      <c r="H56" s="29">
        <v>0.0</v>
      </c>
      <c r="I56" s="29">
        <v>0.0</v>
      </c>
      <c r="J56" s="29">
        <v>0.0</v>
      </c>
      <c r="K56" s="29">
        <v>0.0</v>
      </c>
      <c r="L56" s="29">
        <v>0.0</v>
      </c>
      <c r="M56" s="29">
        <v>0.0</v>
      </c>
      <c r="N56" s="29">
        <v>0.0</v>
      </c>
      <c r="O56" s="29">
        <v>0.0</v>
      </c>
      <c r="P56" s="7"/>
      <c r="Q56" s="29">
        <f t="shared" si="17"/>
        <v>0</v>
      </c>
      <c r="R56" s="7"/>
      <c r="S56" s="7"/>
      <c r="T56" s="7"/>
      <c r="U56" s="7"/>
      <c r="V56" s="7"/>
      <c r="W56" s="7"/>
      <c r="X56" s="7"/>
    </row>
    <row r="57" ht="19.5" hidden="1" customHeight="1">
      <c r="A57" s="7"/>
      <c r="B57" s="31" t="s">
        <v>56</v>
      </c>
      <c r="C57" s="27"/>
      <c r="D57" s="29">
        <v>0.0</v>
      </c>
      <c r="E57" s="29">
        <v>0.0</v>
      </c>
      <c r="F57" s="29">
        <v>0.0</v>
      </c>
      <c r="G57" s="29">
        <v>0.0</v>
      </c>
      <c r="H57" s="29">
        <v>0.0</v>
      </c>
      <c r="I57" s="29">
        <v>0.0</v>
      </c>
      <c r="J57" s="29">
        <v>0.0</v>
      </c>
      <c r="K57" s="29">
        <v>0.0</v>
      </c>
      <c r="L57" s="29">
        <v>0.0</v>
      </c>
      <c r="M57" s="29">
        <v>0.0</v>
      </c>
      <c r="N57" s="29">
        <v>0.0</v>
      </c>
      <c r="O57" s="29">
        <v>0.0</v>
      </c>
      <c r="P57" s="7"/>
      <c r="Q57" s="29">
        <f t="shared" si="17"/>
        <v>0</v>
      </c>
      <c r="R57" s="7"/>
      <c r="S57" s="7"/>
      <c r="T57" s="7"/>
      <c r="U57" s="7"/>
      <c r="V57" s="7"/>
      <c r="W57" s="7"/>
      <c r="X57" s="7"/>
    </row>
    <row r="58" ht="19.5" hidden="1" customHeight="1">
      <c r="A58" s="7"/>
      <c r="B58" s="31" t="s">
        <v>29</v>
      </c>
      <c r="C58" s="27"/>
      <c r="D58" s="29">
        <v>0.0</v>
      </c>
      <c r="E58" s="29">
        <v>0.0</v>
      </c>
      <c r="F58" s="29">
        <v>0.0</v>
      </c>
      <c r="G58" s="29">
        <v>0.0</v>
      </c>
      <c r="H58" s="29">
        <v>0.0</v>
      </c>
      <c r="I58" s="29">
        <v>0.0</v>
      </c>
      <c r="J58" s="29">
        <v>0.0</v>
      </c>
      <c r="K58" s="29">
        <v>0.0</v>
      </c>
      <c r="L58" s="29">
        <v>0.0</v>
      </c>
      <c r="M58" s="29">
        <v>0.0</v>
      </c>
      <c r="N58" s="29">
        <v>0.0</v>
      </c>
      <c r="O58" s="29">
        <v>0.0</v>
      </c>
      <c r="P58" s="7"/>
      <c r="Q58" s="29">
        <f t="shared" si="17"/>
        <v>0</v>
      </c>
      <c r="R58" s="7"/>
      <c r="S58" s="7"/>
      <c r="T58" s="7"/>
      <c r="U58" s="7"/>
      <c r="V58" s="7"/>
      <c r="W58" s="7"/>
      <c r="X58" s="7"/>
    </row>
    <row r="59" ht="19.5" hidden="1" customHeight="1">
      <c r="A59" s="7"/>
      <c r="B59" s="31" t="s">
        <v>29</v>
      </c>
      <c r="C59" s="27"/>
      <c r="D59" s="29">
        <v>0.0</v>
      </c>
      <c r="E59" s="29">
        <v>0.0</v>
      </c>
      <c r="F59" s="29">
        <v>0.0</v>
      </c>
      <c r="G59" s="29">
        <v>0.0</v>
      </c>
      <c r="H59" s="29">
        <v>0.0</v>
      </c>
      <c r="I59" s="29">
        <v>0.0</v>
      </c>
      <c r="J59" s="29">
        <v>0.0</v>
      </c>
      <c r="K59" s="29">
        <v>0.0</v>
      </c>
      <c r="L59" s="29">
        <v>0.0</v>
      </c>
      <c r="M59" s="29">
        <v>0.0</v>
      </c>
      <c r="N59" s="29">
        <v>0.0</v>
      </c>
      <c r="O59" s="29">
        <v>0.0</v>
      </c>
      <c r="P59" s="7"/>
      <c r="Q59" s="29">
        <f t="shared" si="17"/>
        <v>0</v>
      </c>
      <c r="R59" s="7"/>
      <c r="S59" s="7"/>
      <c r="T59" s="7"/>
      <c r="U59" s="7"/>
      <c r="V59" s="7"/>
      <c r="W59" s="7"/>
      <c r="X59" s="7"/>
    </row>
    <row r="60" ht="19.5" hidden="1" customHeight="1">
      <c r="A60" s="7"/>
      <c r="B60" s="16" t="s">
        <v>57</v>
      </c>
      <c r="C60" s="17"/>
      <c r="D60" s="18">
        <f t="shared" ref="D60:O60" si="18">SUM(D55:D59)</f>
        <v>0</v>
      </c>
      <c r="E60" s="18">
        <f t="shared" si="18"/>
        <v>0</v>
      </c>
      <c r="F60" s="18">
        <f t="shared" si="18"/>
        <v>0</v>
      </c>
      <c r="G60" s="18">
        <f t="shared" si="18"/>
        <v>0</v>
      </c>
      <c r="H60" s="18">
        <f t="shared" si="18"/>
        <v>0</v>
      </c>
      <c r="I60" s="18">
        <f t="shared" si="18"/>
        <v>0</v>
      </c>
      <c r="J60" s="18">
        <f t="shared" si="18"/>
        <v>0</v>
      </c>
      <c r="K60" s="18">
        <f t="shared" si="18"/>
        <v>0</v>
      </c>
      <c r="L60" s="18">
        <f t="shared" si="18"/>
        <v>0</v>
      </c>
      <c r="M60" s="18">
        <f t="shared" si="18"/>
        <v>0</v>
      </c>
      <c r="N60" s="18">
        <f t="shared" si="18"/>
        <v>0</v>
      </c>
      <c r="O60" s="18">
        <f t="shared" si="18"/>
        <v>0</v>
      </c>
      <c r="P60" s="7"/>
      <c r="Q60" s="18">
        <f>SUM(Q55:Q59)</f>
        <v>0</v>
      </c>
      <c r="R60" s="7"/>
      <c r="S60" s="7"/>
      <c r="T60" s="7"/>
      <c r="U60" s="7"/>
      <c r="V60" s="7"/>
      <c r="W60" s="7"/>
      <c r="X60" s="7"/>
    </row>
    <row r="61" ht="19.5" customHeight="1">
      <c r="A61" s="7"/>
      <c r="B61" s="44"/>
      <c r="C61" s="7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7"/>
      <c r="Q61" s="44"/>
      <c r="R61" s="7"/>
      <c r="S61" s="7"/>
      <c r="T61" s="7"/>
      <c r="U61" s="7"/>
      <c r="V61" s="7"/>
      <c r="W61" s="7"/>
      <c r="X61" s="7"/>
    </row>
    <row r="62" ht="19.5" customHeight="1">
      <c r="A62" s="7"/>
      <c r="B62" s="46" t="s">
        <v>58</v>
      </c>
      <c r="C62" s="25" t="s">
        <v>6</v>
      </c>
      <c r="D62" s="25" t="s">
        <v>7</v>
      </c>
      <c r="E62" s="25" t="s">
        <v>8</v>
      </c>
      <c r="F62" s="25" t="s">
        <v>9</v>
      </c>
      <c r="G62" s="25" t="s">
        <v>10</v>
      </c>
      <c r="H62" s="25" t="s">
        <v>11</v>
      </c>
      <c r="I62" s="25" t="s">
        <v>12</v>
      </c>
      <c r="J62" s="25" t="s">
        <v>13</v>
      </c>
      <c r="K62" s="25" t="s">
        <v>14</v>
      </c>
      <c r="L62" s="25" t="s">
        <v>15</v>
      </c>
      <c r="M62" s="25" t="s">
        <v>16</v>
      </c>
      <c r="N62" s="25" t="s">
        <v>17</v>
      </c>
      <c r="O62" s="25" t="s">
        <v>18</v>
      </c>
      <c r="P62" s="7"/>
      <c r="Q62" s="25" t="s">
        <v>19</v>
      </c>
      <c r="R62" s="7"/>
      <c r="S62" s="7"/>
      <c r="T62" s="7"/>
      <c r="U62" s="7"/>
      <c r="V62" s="7"/>
      <c r="W62" s="7"/>
      <c r="X62" s="7"/>
    </row>
    <row r="63" ht="19.5" customHeight="1">
      <c r="A63" s="7"/>
      <c r="B63" s="26" t="s">
        <v>59</v>
      </c>
      <c r="C63" s="27"/>
      <c r="D63" s="28">
        <v>1345.0</v>
      </c>
      <c r="E63" s="28">
        <v>1345.0</v>
      </c>
      <c r="F63" s="28">
        <v>1345.0</v>
      </c>
      <c r="G63" s="28">
        <v>1345.0</v>
      </c>
      <c r="H63" s="28">
        <v>1580.0</v>
      </c>
      <c r="I63" s="28">
        <v>1580.0</v>
      </c>
      <c r="J63" s="28">
        <v>1580.0</v>
      </c>
      <c r="K63" s="28">
        <v>1580.0</v>
      </c>
      <c r="L63" s="28">
        <v>1580.0</v>
      </c>
      <c r="M63" s="28">
        <v>1580.0</v>
      </c>
      <c r="N63" s="28">
        <v>1580.0</v>
      </c>
      <c r="O63" s="28">
        <v>1580.0</v>
      </c>
      <c r="P63" s="7"/>
      <c r="Q63" s="29">
        <f t="shared" ref="Q63:Q67" si="19">SUM(D63:O63)</f>
        <v>18020</v>
      </c>
      <c r="R63" s="7"/>
      <c r="S63" s="7"/>
      <c r="T63" s="7"/>
      <c r="U63" s="7"/>
      <c r="V63" s="7"/>
      <c r="W63" s="7"/>
      <c r="X63" s="7"/>
    </row>
    <row r="64" ht="19.5" customHeight="1">
      <c r="A64" s="7"/>
      <c r="B64" s="26" t="s">
        <v>60</v>
      </c>
      <c r="C64" s="27"/>
      <c r="D64" s="28">
        <v>435.0</v>
      </c>
      <c r="E64" s="28">
        <v>435.0</v>
      </c>
      <c r="F64" s="28">
        <v>435.0</v>
      </c>
      <c r="G64" s="28">
        <v>435.0</v>
      </c>
      <c r="H64" s="28">
        <v>200.0</v>
      </c>
      <c r="I64" s="28">
        <v>200.0</v>
      </c>
      <c r="J64" s="28">
        <v>200.0</v>
      </c>
      <c r="K64" s="28">
        <v>200.0</v>
      </c>
      <c r="L64" s="28">
        <v>200.0</v>
      </c>
      <c r="M64" s="28">
        <v>200.0</v>
      </c>
      <c r="N64" s="28">
        <v>200.0</v>
      </c>
      <c r="O64" s="28">
        <v>200.0</v>
      </c>
      <c r="P64" s="7"/>
      <c r="Q64" s="29">
        <f t="shared" si="19"/>
        <v>3340</v>
      </c>
      <c r="R64" s="7"/>
      <c r="S64" s="7"/>
      <c r="T64" s="7"/>
      <c r="U64" s="7"/>
      <c r="V64" s="7"/>
      <c r="W64" s="7"/>
      <c r="X64" s="7"/>
    </row>
    <row r="65" ht="19.5" customHeight="1">
      <c r="A65" s="7"/>
      <c r="B65" s="26" t="s">
        <v>61</v>
      </c>
      <c r="C65" s="27"/>
      <c r="D65" s="28">
        <v>400.0</v>
      </c>
      <c r="E65" s="28">
        <v>400.0</v>
      </c>
      <c r="F65" s="28">
        <v>400.0</v>
      </c>
      <c r="G65" s="28">
        <v>400.0</v>
      </c>
      <c r="H65" s="28">
        <v>400.0</v>
      </c>
      <c r="I65" s="28">
        <v>400.0</v>
      </c>
      <c r="J65" s="102">
        <v>6300.0</v>
      </c>
      <c r="K65" s="28">
        <v>0.0</v>
      </c>
      <c r="L65" s="28">
        <v>0.0</v>
      </c>
      <c r="M65" s="28">
        <v>0.0</v>
      </c>
      <c r="N65" s="28">
        <v>0.0</v>
      </c>
      <c r="O65" s="28">
        <v>0.0</v>
      </c>
      <c r="P65" s="7"/>
      <c r="Q65" s="29">
        <f t="shared" si="19"/>
        <v>8700</v>
      </c>
      <c r="R65" s="7"/>
      <c r="S65" s="7"/>
      <c r="T65" s="7"/>
      <c r="U65" s="7"/>
      <c r="V65" s="7"/>
      <c r="W65" s="7"/>
      <c r="X65" s="7"/>
    </row>
    <row r="66" ht="19.5" customHeight="1">
      <c r="A66" s="7"/>
      <c r="B66" s="26" t="s">
        <v>62</v>
      </c>
      <c r="C66" s="27"/>
      <c r="D66" s="28">
        <v>200.0</v>
      </c>
      <c r="E66" s="28">
        <v>200.0</v>
      </c>
      <c r="F66" s="28">
        <v>1800.0</v>
      </c>
      <c r="G66" s="28">
        <v>0.0</v>
      </c>
      <c r="H66" s="28">
        <v>0.0</v>
      </c>
      <c r="I66" s="28">
        <v>0.0</v>
      </c>
      <c r="J66" s="28">
        <v>0.0</v>
      </c>
      <c r="K66" s="28">
        <v>0.0</v>
      </c>
      <c r="L66" s="28">
        <v>0.0</v>
      </c>
      <c r="M66" s="28">
        <v>0.0</v>
      </c>
      <c r="N66" s="28">
        <v>0.0</v>
      </c>
      <c r="O66" s="28">
        <v>0.0</v>
      </c>
      <c r="P66" s="7"/>
      <c r="Q66" s="29">
        <f t="shared" si="19"/>
        <v>2200</v>
      </c>
      <c r="R66" s="7"/>
      <c r="S66" s="7"/>
      <c r="T66" s="7"/>
      <c r="U66" s="7"/>
      <c r="V66" s="7"/>
      <c r="W66" s="7"/>
      <c r="X66" s="7"/>
    </row>
    <row r="67" ht="19.5" customHeight="1">
      <c r="A67" s="7"/>
      <c r="B67" s="26" t="s">
        <v>118</v>
      </c>
      <c r="C67" s="27"/>
      <c r="D67" s="28">
        <v>0.0</v>
      </c>
      <c r="E67" s="28">
        <v>0.0</v>
      </c>
      <c r="F67" s="29">
        <v>0.0</v>
      </c>
      <c r="G67" s="29">
        <v>0.0</v>
      </c>
      <c r="H67" s="29">
        <v>0.0</v>
      </c>
      <c r="I67" s="29">
        <v>0.0</v>
      </c>
      <c r="J67" s="29">
        <v>0.0</v>
      </c>
      <c r="K67" s="28">
        <v>0.0</v>
      </c>
      <c r="L67" s="28">
        <v>0.0</v>
      </c>
      <c r="M67" s="28">
        <v>0.0</v>
      </c>
      <c r="N67" s="28">
        <v>0.0</v>
      </c>
      <c r="O67" s="28">
        <v>0.0</v>
      </c>
      <c r="P67" s="7"/>
      <c r="Q67" s="29">
        <f t="shared" si="19"/>
        <v>0</v>
      </c>
      <c r="R67" s="7"/>
      <c r="S67" s="7"/>
      <c r="T67" s="7"/>
      <c r="U67" s="7"/>
      <c r="V67" s="7"/>
      <c r="W67" s="7"/>
      <c r="X67" s="7"/>
    </row>
    <row r="68" ht="19.5" customHeight="1">
      <c r="A68" s="7"/>
      <c r="B68" s="16" t="s">
        <v>63</v>
      </c>
      <c r="C68" s="17"/>
      <c r="D68" s="18">
        <f t="shared" ref="D68:O68" si="20">SUM(D63:D67)</f>
        <v>2380</v>
      </c>
      <c r="E68" s="18">
        <f t="shared" si="20"/>
        <v>2380</v>
      </c>
      <c r="F68" s="18">
        <f t="shared" si="20"/>
        <v>3980</v>
      </c>
      <c r="G68" s="18">
        <f t="shared" si="20"/>
        <v>2180</v>
      </c>
      <c r="H68" s="18">
        <f t="shared" si="20"/>
        <v>2180</v>
      </c>
      <c r="I68" s="18">
        <f t="shared" si="20"/>
        <v>2180</v>
      </c>
      <c r="J68" s="103">
        <f t="shared" si="20"/>
        <v>8080</v>
      </c>
      <c r="K68" s="18">
        <f t="shared" si="20"/>
        <v>1780</v>
      </c>
      <c r="L68" s="18">
        <f t="shared" si="20"/>
        <v>1780</v>
      </c>
      <c r="M68" s="18">
        <f t="shared" si="20"/>
        <v>1780</v>
      </c>
      <c r="N68" s="18">
        <f t="shared" si="20"/>
        <v>1780</v>
      </c>
      <c r="O68" s="18">
        <f t="shared" si="20"/>
        <v>1780</v>
      </c>
      <c r="P68" s="7"/>
      <c r="Q68" s="18">
        <f>SUM(Q63:Q67)</f>
        <v>32260</v>
      </c>
      <c r="R68" s="7"/>
      <c r="S68" s="7"/>
      <c r="T68" s="7"/>
      <c r="U68" s="7"/>
      <c r="V68" s="7"/>
      <c r="W68" s="7"/>
      <c r="X68" s="7"/>
    </row>
    <row r="69" ht="19.5" customHeight="1">
      <c r="A69" s="7"/>
      <c r="B69" s="47"/>
      <c r="C69" s="48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7"/>
      <c r="Q69" s="44"/>
      <c r="R69" s="7"/>
      <c r="S69" s="7"/>
      <c r="T69" s="7"/>
      <c r="U69" s="7"/>
      <c r="V69" s="7"/>
      <c r="W69" s="7"/>
      <c r="X69" s="7"/>
    </row>
    <row r="70" ht="19.5" customHeight="1">
      <c r="A70" s="7"/>
      <c r="B70" s="45" t="s">
        <v>64</v>
      </c>
      <c r="C70" s="25" t="s">
        <v>6</v>
      </c>
      <c r="D70" s="25" t="s">
        <v>7</v>
      </c>
      <c r="E70" s="25" t="s">
        <v>8</v>
      </c>
      <c r="F70" s="25" t="s">
        <v>9</v>
      </c>
      <c r="G70" s="25" t="s">
        <v>10</v>
      </c>
      <c r="H70" s="25" t="s">
        <v>11</v>
      </c>
      <c r="I70" s="25" t="s">
        <v>12</v>
      </c>
      <c r="J70" s="25" t="s">
        <v>13</v>
      </c>
      <c r="K70" s="25" t="s">
        <v>14</v>
      </c>
      <c r="L70" s="25" t="s">
        <v>15</v>
      </c>
      <c r="M70" s="25" t="s">
        <v>16</v>
      </c>
      <c r="N70" s="25" t="s">
        <v>17</v>
      </c>
      <c r="O70" s="25" t="s">
        <v>18</v>
      </c>
      <c r="P70" s="7"/>
      <c r="Q70" s="25" t="s">
        <v>19</v>
      </c>
      <c r="R70" s="7"/>
      <c r="S70" s="7"/>
      <c r="T70" s="7"/>
      <c r="U70" s="7"/>
      <c r="V70" s="7"/>
      <c r="W70" s="7"/>
      <c r="X70" s="7"/>
    </row>
    <row r="71" ht="19.5" customHeight="1">
      <c r="A71" s="7"/>
      <c r="B71" s="31" t="s">
        <v>65</v>
      </c>
      <c r="C71" s="27"/>
      <c r="D71" s="28">
        <v>375.0</v>
      </c>
      <c r="E71" s="28">
        <v>375.0</v>
      </c>
      <c r="F71" s="28">
        <v>375.0</v>
      </c>
      <c r="G71" s="28">
        <v>375.0</v>
      </c>
      <c r="H71" s="28">
        <v>0.0</v>
      </c>
      <c r="I71" s="28">
        <v>2500.0</v>
      </c>
      <c r="J71" s="28">
        <v>1500.0</v>
      </c>
      <c r="K71" s="28">
        <v>3500.0</v>
      </c>
      <c r="L71" s="28">
        <v>3500.0</v>
      </c>
      <c r="M71" s="28">
        <v>3500.0</v>
      </c>
      <c r="N71" s="28">
        <v>3500.0</v>
      </c>
      <c r="O71" s="28">
        <v>3500.0</v>
      </c>
      <c r="P71" s="7"/>
      <c r="Q71" s="29">
        <f t="shared" ref="Q71:Q80" si="21">SUM(D71:O71)</f>
        <v>23000</v>
      </c>
      <c r="R71" s="7"/>
      <c r="S71" s="7"/>
      <c r="T71" s="7"/>
      <c r="U71" s="7"/>
      <c r="V71" s="7"/>
      <c r="W71" s="7"/>
      <c r="X71" s="7"/>
    </row>
    <row r="72" ht="19.5" customHeight="1">
      <c r="A72" s="7"/>
      <c r="B72" s="26" t="s">
        <v>66</v>
      </c>
      <c r="C72" s="27"/>
      <c r="D72" s="28">
        <v>20.0</v>
      </c>
      <c r="E72" s="28">
        <v>20.0</v>
      </c>
      <c r="F72" s="28">
        <v>20.0</v>
      </c>
      <c r="G72" s="28">
        <v>20.0</v>
      </c>
      <c r="H72" s="28">
        <v>20.0</v>
      </c>
      <c r="I72" s="28">
        <v>20.0</v>
      </c>
      <c r="J72" s="28">
        <v>400.0</v>
      </c>
      <c r="K72" s="28">
        <v>400.0</v>
      </c>
      <c r="L72" s="28">
        <v>400.0</v>
      </c>
      <c r="M72" s="28">
        <v>400.0</v>
      </c>
      <c r="N72" s="28">
        <v>400.0</v>
      </c>
      <c r="O72" s="28">
        <v>400.0</v>
      </c>
      <c r="P72" s="7"/>
      <c r="Q72" s="29">
        <f t="shared" si="21"/>
        <v>2520</v>
      </c>
      <c r="R72" s="7"/>
      <c r="S72" s="7"/>
      <c r="T72" s="7"/>
      <c r="U72" s="7"/>
      <c r="V72" s="7"/>
      <c r="W72" s="7"/>
      <c r="X72" s="7"/>
    </row>
    <row r="73" ht="19.5" customHeight="1">
      <c r="A73" s="7"/>
      <c r="B73" s="26" t="s">
        <v>67</v>
      </c>
      <c r="C73" s="27"/>
      <c r="D73" s="28">
        <v>12.5</v>
      </c>
      <c r="E73" s="28">
        <v>12.5</v>
      </c>
      <c r="F73" s="28">
        <v>12.5</v>
      </c>
      <c r="G73" s="28">
        <v>12.5</v>
      </c>
      <c r="H73" s="28">
        <v>12.5</v>
      </c>
      <c r="I73" s="28">
        <v>12.5</v>
      </c>
      <c r="J73" s="28">
        <v>12.5</v>
      </c>
      <c r="K73" s="28">
        <v>12.5</v>
      </c>
      <c r="L73" s="28">
        <v>12.5</v>
      </c>
      <c r="M73" s="28">
        <v>12.5</v>
      </c>
      <c r="N73" s="28">
        <v>12.5</v>
      </c>
      <c r="O73" s="28">
        <v>12.5</v>
      </c>
      <c r="P73" s="7"/>
      <c r="Q73" s="29">
        <f t="shared" si="21"/>
        <v>150</v>
      </c>
      <c r="R73" s="7"/>
      <c r="S73" s="7"/>
      <c r="T73" s="7"/>
      <c r="U73" s="7"/>
      <c r="V73" s="7"/>
      <c r="W73" s="7"/>
      <c r="X73" s="7"/>
    </row>
    <row r="74" ht="19.5" customHeight="1">
      <c r="A74" s="7"/>
      <c r="B74" s="31" t="s">
        <v>68</v>
      </c>
      <c r="C74" s="27"/>
      <c r="D74" s="28">
        <v>0.0</v>
      </c>
      <c r="E74" s="28">
        <v>100.0</v>
      </c>
      <c r="F74" s="28">
        <v>100.0</v>
      </c>
      <c r="G74" s="28">
        <v>100.0</v>
      </c>
      <c r="H74" s="28">
        <v>100.0</v>
      </c>
      <c r="I74" s="28">
        <v>100.0</v>
      </c>
      <c r="J74" s="28">
        <v>100.0</v>
      </c>
      <c r="K74" s="28">
        <v>100.0</v>
      </c>
      <c r="L74" s="28">
        <v>100.0</v>
      </c>
      <c r="M74" s="28">
        <v>100.0</v>
      </c>
      <c r="N74" s="28">
        <v>100.0</v>
      </c>
      <c r="O74" s="28">
        <v>100.0</v>
      </c>
      <c r="P74" s="7"/>
      <c r="Q74" s="29">
        <f t="shared" si="21"/>
        <v>1100</v>
      </c>
      <c r="R74" s="7"/>
      <c r="S74" s="7"/>
      <c r="T74" s="7"/>
      <c r="U74" s="7"/>
      <c r="V74" s="7"/>
      <c r="W74" s="7"/>
      <c r="X74" s="7"/>
    </row>
    <row r="75" ht="19.5" customHeight="1">
      <c r="A75" s="7"/>
      <c r="B75" s="31" t="s">
        <v>69</v>
      </c>
      <c r="C75" s="27"/>
      <c r="D75" s="28">
        <v>125.0</v>
      </c>
      <c r="E75" s="28">
        <v>150.0</v>
      </c>
      <c r="F75" s="28">
        <v>250.0</v>
      </c>
      <c r="G75" s="28">
        <v>80.0</v>
      </c>
      <c r="H75" s="28">
        <v>80.0</v>
      </c>
      <c r="I75" s="28">
        <v>80.0</v>
      </c>
      <c r="J75" s="28">
        <v>120.0</v>
      </c>
      <c r="K75" s="28">
        <v>120.0</v>
      </c>
      <c r="L75" s="28">
        <v>120.0</v>
      </c>
      <c r="M75" s="28">
        <v>120.0</v>
      </c>
      <c r="N75" s="28">
        <v>120.0</v>
      </c>
      <c r="O75" s="28">
        <v>120.0</v>
      </c>
      <c r="P75" s="7"/>
      <c r="Q75" s="29">
        <f t="shared" si="21"/>
        <v>1485</v>
      </c>
      <c r="R75" s="7"/>
      <c r="S75" s="7"/>
      <c r="T75" s="7"/>
      <c r="U75" s="7"/>
      <c r="V75" s="7"/>
      <c r="W75" s="7"/>
      <c r="X75" s="7"/>
    </row>
    <row r="76" ht="19.5" customHeight="1">
      <c r="A76" s="7"/>
      <c r="B76" s="31" t="s">
        <v>70</v>
      </c>
      <c r="C76" s="27"/>
      <c r="D76" s="28">
        <v>50.0</v>
      </c>
      <c r="E76" s="28">
        <v>50.0</v>
      </c>
      <c r="F76" s="28">
        <v>50.0</v>
      </c>
      <c r="G76" s="28">
        <v>50.0</v>
      </c>
      <c r="H76" s="28">
        <v>50.0</v>
      </c>
      <c r="I76" s="28">
        <v>50.0</v>
      </c>
      <c r="J76" s="28">
        <v>50.0</v>
      </c>
      <c r="K76" s="28">
        <v>50.0</v>
      </c>
      <c r="L76" s="28">
        <v>50.0</v>
      </c>
      <c r="M76" s="28">
        <v>50.0</v>
      </c>
      <c r="N76" s="28">
        <v>50.0</v>
      </c>
      <c r="O76" s="28">
        <v>50.0</v>
      </c>
      <c r="P76" s="7"/>
      <c r="Q76" s="29">
        <f t="shared" si="21"/>
        <v>600</v>
      </c>
      <c r="R76" s="7"/>
      <c r="S76" s="7"/>
      <c r="T76" s="7"/>
      <c r="U76" s="7"/>
      <c r="V76" s="7"/>
      <c r="W76" s="7"/>
      <c r="X76" s="7"/>
    </row>
    <row r="77" ht="19.5" customHeight="1">
      <c r="A77" s="7"/>
      <c r="B77" s="31" t="s">
        <v>71</v>
      </c>
      <c r="C77" s="27"/>
      <c r="D77" s="28">
        <v>20.0</v>
      </c>
      <c r="E77" s="28">
        <v>200.0</v>
      </c>
      <c r="F77" s="28">
        <v>60.0</v>
      </c>
      <c r="G77" s="28">
        <v>60.0</v>
      </c>
      <c r="H77" s="28">
        <v>60.0</v>
      </c>
      <c r="I77" s="28">
        <v>60.0</v>
      </c>
      <c r="J77" s="28">
        <v>60.0</v>
      </c>
      <c r="K77" s="28">
        <v>60.0</v>
      </c>
      <c r="L77" s="28">
        <v>60.0</v>
      </c>
      <c r="M77" s="28">
        <v>60.0</v>
      </c>
      <c r="N77" s="28">
        <v>60.0</v>
      </c>
      <c r="O77" s="28">
        <v>60.0</v>
      </c>
      <c r="P77" s="7"/>
      <c r="Q77" s="29">
        <f t="shared" si="21"/>
        <v>820</v>
      </c>
      <c r="R77" s="7"/>
      <c r="S77" s="7"/>
      <c r="T77" s="7"/>
      <c r="U77" s="7"/>
      <c r="V77" s="7"/>
      <c r="W77" s="7"/>
      <c r="X77" s="7"/>
    </row>
    <row r="78" ht="19.5" customHeight="1">
      <c r="A78" s="7"/>
      <c r="B78" s="31" t="s">
        <v>72</v>
      </c>
      <c r="C78" s="27"/>
      <c r="D78" s="28">
        <v>750.0</v>
      </c>
      <c r="E78" s="29">
        <v>0.0</v>
      </c>
      <c r="F78" s="29">
        <v>0.0</v>
      </c>
      <c r="G78" s="28">
        <v>250.0</v>
      </c>
      <c r="H78" s="29">
        <v>0.0</v>
      </c>
      <c r="I78" s="29">
        <v>0.0</v>
      </c>
      <c r="J78" s="28">
        <v>150.0</v>
      </c>
      <c r="K78" s="28">
        <v>150.0</v>
      </c>
      <c r="L78" s="28">
        <v>150.0</v>
      </c>
      <c r="M78" s="28">
        <v>150.0</v>
      </c>
      <c r="N78" s="28">
        <v>150.0</v>
      </c>
      <c r="O78" s="28">
        <v>750.0</v>
      </c>
      <c r="P78" s="7"/>
      <c r="Q78" s="29">
        <f t="shared" si="21"/>
        <v>2500</v>
      </c>
      <c r="R78" s="7"/>
      <c r="S78" s="7"/>
      <c r="T78" s="7"/>
      <c r="U78" s="7"/>
      <c r="V78" s="7"/>
      <c r="W78" s="7"/>
      <c r="X78" s="7"/>
    </row>
    <row r="79" ht="19.5" customHeight="1">
      <c r="A79" s="7"/>
      <c r="B79" s="26" t="s">
        <v>73</v>
      </c>
      <c r="C79" s="27"/>
      <c r="D79" s="28">
        <v>250.0</v>
      </c>
      <c r="E79" s="28">
        <v>600.0</v>
      </c>
      <c r="F79" s="28">
        <v>600.0</v>
      </c>
      <c r="G79" s="28">
        <v>600.0</v>
      </c>
      <c r="H79" s="28">
        <v>600.0</v>
      </c>
      <c r="I79" s="28">
        <v>600.0</v>
      </c>
      <c r="J79" s="28">
        <v>1200.0</v>
      </c>
      <c r="K79" s="28">
        <v>1200.0</v>
      </c>
      <c r="L79" s="28">
        <v>1200.0</v>
      </c>
      <c r="M79" s="28">
        <v>1200.0</v>
      </c>
      <c r="N79" s="28">
        <v>1200.0</v>
      </c>
      <c r="O79" s="28">
        <v>1200.0</v>
      </c>
      <c r="P79" s="7"/>
      <c r="Q79" s="29">
        <f t="shared" si="21"/>
        <v>10450</v>
      </c>
      <c r="R79" s="7"/>
      <c r="S79" s="7"/>
      <c r="T79" s="7"/>
      <c r="U79" s="7"/>
      <c r="V79" s="7"/>
      <c r="W79" s="7"/>
      <c r="X79" s="7"/>
    </row>
    <row r="80" ht="19.5" customHeight="1">
      <c r="A80" s="7"/>
      <c r="B80" s="31" t="s">
        <v>29</v>
      </c>
      <c r="C80" s="27"/>
      <c r="D80" s="28">
        <f>25+25+400+75</f>
        <v>525</v>
      </c>
      <c r="E80" s="28">
        <v>500.0</v>
      </c>
      <c r="F80" s="28">
        <v>250.0</v>
      </c>
      <c r="G80" s="29">
        <v>0.0</v>
      </c>
      <c r="H80" s="29">
        <v>0.0</v>
      </c>
      <c r="I80" s="29">
        <v>0.0</v>
      </c>
      <c r="J80" s="29">
        <v>0.0</v>
      </c>
      <c r="K80" s="29">
        <v>0.0</v>
      </c>
      <c r="L80" s="29">
        <v>0.0</v>
      </c>
      <c r="M80" s="29">
        <v>0.0</v>
      </c>
      <c r="N80" s="29">
        <v>0.0</v>
      </c>
      <c r="O80" s="29">
        <v>0.0</v>
      </c>
      <c r="P80" s="7"/>
      <c r="Q80" s="29">
        <f t="shared" si="21"/>
        <v>1275</v>
      </c>
      <c r="R80" s="7"/>
      <c r="S80" s="7"/>
      <c r="T80" s="7"/>
      <c r="U80" s="7"/>
      <c r="V80" s="7"/>
      <c r="W80" s="7"/>
      <c r="X80" s="7"/>
    </row>
    <row r="81" ht="19.5" customHeight="1">
      <c r="A81" s="7"/>
      <c r="B81" s="16" t="s">
        <v>75</v>
      </c>
      <c r="C81" s="17"/>
      <c r="D81" s="18">
        <f t="shared" ref="D81:O81" si="22">SUM(D71:D80)</f>
        <v>2127.5</v>
      </c>
      <c r="E81" s="18">
        <f t="shared" si="22"/>
        <v>2007.5</v>
      </c>
      <c r="F81" s="18">
        <f t="shared" si="22"/>
        <v>1717.5</v>
      </c>
      <c r="G81" s="18">
        <f t="shared" si="22"/>
        <v>1547.5</v>
      </c>
      <c r="H81" s="18">
        <f t="shared" si="22"/>
        <v>922.5</v>
      </c>
      <c r="I81" s="18">
        <f t="shared" si="22"/>
        <v>3422.5</v>
      </c>
      <c r="J81" s="103">
        <f t="shared" si="22"/>
        <v>3592.5</v>
      </c>
      <c r="K81" s="18">
        <f t="shared" si="22"/>
        <v>5592.5</v>
      </c>
      <c r="L81" s="18">
        <f t="shared" si="22"/>
        <v>5592.5</v>
      </c>
      <c r="M81" s="18">
        <f t="shared" si="22"/>
        <v>5592.5</v>
      </c>
      <c r="N81" s="18">
        <f t="shared" si="22"/>
        <v>5592.5</v>
      </c>
      <c r="O81" s="18">
        <f t="shared" si="22"/>
        <v>6192.5</v>
      </c>
      <c r="P81" s="7"/>
      <c r="Q81" s="18">
        <f>SUM(Q71:Q80)</f>
        <v>43900</v>
      </c>
      <c r="R81" s="7"/>
      <c r="S81" s="7"/>
      <c r="T81" s="7"/>
      <c r="U81" s="7"/>
      <c r="V81" s="7"/>
      <c r="W81" s="7"/>
      <c r="X81" s="7"/>
    </row>
    <row r="82" ht="19.5" customHeight="1">
      <c r="A82" s="7"/>
      <c r="B82" s="44"/>
      <c r="C82" s="7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7"/>
      <c r="Q82" s="44"/>
      <c r="R82" s="7"/>
      <c r="S82" s="7"/>
      <c r="T82" s="7"/>
      <c r="U82" s="7"/>
      <c r="V82" s="7"/>
      <c r="W82" s="7"/>
      <c r="X82" s="7"/>
    </row>
    <row r="83" ht="19.5" customHeight="1">
      <c r="A83" s="7"/>
      <c r="B83" s="45" t="s">
        <v>76</v>
      </c>
      <c r="C83" s="25" t="s">
        <v>6</v>
      </c>
      <c r="D83" s="25" t="s">
        <v>7</v>
      </c>
      <c r="E83" s="25" t="s">
        <v>8</v>
      </c>
      <c r="F83" s="25" t="s">
        <v>9</v>
      </c>
      <c r="G83" s="25" t="s">
        <v>10</v>
      </c>
      <c r="H83" s="25" t="s">
        <v>11</v>
      </c>
      <c r="I83" s="25" t="s">
        <v>12</v>
      </c>
      <c r="J83" s="25" t="s">
        <v>13</v>
      </c>
      <c r="K83" s="25" t="s">
        <v>14</v>
      </c>
      <c r="L83" s="25" t="s">
        <v>15</v>
      </c>
      <c r="M83" s="25" t="s">
        <v>16</v>
      </c>
      <c r="N83" s="25" t="s">
        <v>17</v>
      </c>
      <c r="O83" s="25" t="s">
        <v>18</v>
      </c>
      <c r="P83" s="7"/>
      <c r="Q83" s="25" t="s">
        <v>19</v>
      </c>
      <c r="R83" s="7"/>
      <c r="S83" s="7"/>
      <c r="T83" s="7"/>
      <c r="U83" s="7"/>
      <c r="V83" s="7"/>
      <c r="W83" s="7"/>
      <c r="X83" s="7"/>
    </row>
    <row r="84" ht="19.5" customHeight="1">
      <c r="A84" s="7"/>
      <c r="B84" s="31" t="s">
        <v>77</v>
      </c>
      <c r="C84" s="27"/>
      <c r="D84" s="28">
        <v>200.0</v>
      </c>
      <c r="E84" s="28">
        <v>200.0</v>
      </c>
      <c r="F84" s="28">
        <v>100.0</v>
      </c>
      <c r="G84" s="28">
        <v>100.0</v>
      </c>
      <c r="H84" s="28">
        <v>100.0</v>
      </c>
      <c r="I84" s="28">
        <v>100.0</v>
      </c>
      <c r="J84" s="28">
        <v>0.0</v>
      </c>
      <c r="K84" s="28">
        <v>0.0</v>
      </c>
      <c r="L84" s="28">
        <v>0.0</v>
      </c>
      <c r="M84" s="28">
        <v>0.0</v>
      </c>
      <c r="N84" s="28">
        <v>0.0</v>
      </c>
      <c r="O84" s="28">
        <v>0.0</v>
      </c>
      <c r="P84" s="7"/>
      <c r="Q84" s="29">
        <f t="shared" ref="Q84:Q88" si="23">SUM(D84:O84)</f>
        <v>800</v>
      </c>
      <c r="R84" s="7"/>
      <c r="S84" s="7"/>
      <c r="T84" s="7"/>
      <c r="U84" s="7"/>
      <c r="V84" s="7"/>
      <c r="W84" s="7"/>
      <c r="X84" s="7"/>
    </row>
    <row r="85" ht="19.5" customHeight="1">
      <c r="A85" s="7"/>
      <c r="B85" s="31" t="s">
        <v>78</v>
      </c>
      <c r="C85" s="27"/>
      <c r="D85" s="28">
        <v>0.0</v>
      </c>
      <c r="E85" s="28">
        <v>50.0</v>
      </c>
      <c r="F85" s="28">
        <v>50.0</v>
      </c>
      <c r="G85" s="28">
        <v>50.0</v>
      </c>
      <c r="H85" s="28">
        <v>50.0</v>
      </c>
      <c r="I85" s="28">
        <v>50.0</v>
      </c>
      <c r="J85" s="28">
        <v>0.0</v>
      </c>
      <c r="K85" s="28">
        <v>0.0</v>
      </c>
      <c r="L85" s="28">
        <v>0.0</v>
      </c>
      <c r="M85" s="28">
        <v>0.0</v>
      </c>
      <c r="N85" s="28">
        <v>0.0</v>
      </c>
      <c r="O85" s="28">
        <v>0.0</v>
      </c>
      <c r="P85" s="7"/>
      <c r="Q85" s="29">
        <f t="shared" si="23"/>
        <v>250</v>
      </c>
      <c r="R85" s="7"/>
      <c r="S85" s="7"/>
      <c r="T85" s="7"/>
      <c r="U85" s="7"/>
      <c r="V85" s="7"/>
      <c r="W85" s="7"/>
      <c r="X85" s="7"/>
    </row>
    <row r="86" ht="19.5" customHeight="1">
      <c r="A86" s="7"/>
      <c r="B86" s="31" t="s">
        <v>79</v>
      </c>
      <c r="C86" s="27"/>
      <c r="D86" s="28">
        <v>10.0</v>
      </c>
      <c r="E86" s="29">
        <v>0.0</v>
      </c>
      <c r="F86" s="29">
        <v>0.0</v>
      </c>
      <c r="G86" s="29">
        <v>0.0</v>
      </c>
      <c r="H86" s="29">
        <v>0.0</v>
      </c>
      <c r="I86" s="29">
        <v>0.0</v>
      </c>
      <c r="J86" s="29">
        <v>0.0</v>
      </c>
      <c r="K86" s="29">
        <v>0.0</v>
      </c>
      <c r="L86" s="29">
        <v>0.0</v>
      </c>
      <c r="M86" s="29">
        <v>0.0</v>
      </c>
      <c r="N86" s="29">
        <v>0.0</v>
      </c>
      <c r="O86" s="29">
        <v>0.0</v>
      </c>
      <c r="P86" s="7"/>
      <c r="Q86" s="29">
        <f t="shared" si="23"/>
        <v>10</v>
      </c>
      <c r="R86" s="7"/>
      <c r="S86" s="7"/>
      <c r="T86" s="7"/>
      <c r="U86" s="7"/>
      <c r="V86" s="7"/>
      <c r="W86" s="7"/>
      <c r="X86" s="7"/>
    </row>
    <row r="87" ht="19.5" customHeight="1">
      <c r="A87" s="7"/>
      <c r="B87" s="31" t="s">
        <v>80</v>
      </c>
      <c r="C87" s="27"/>
      <c r="D87" s="28">
        <v>50.0</v>
      </c>
      <c r="E87" s="28">
        <v>80.0</v>
      </c>
      <c r="F87" s="28">
        <v>80.0</v>
      </c>
      <c r="G87" s="28">
        <v>80.0</v>
      </c>
      <c r="H87" s="28">
        <v>80.0</v>
      </c>
      <c r="I87" s="28">
        <v>80.0</v>
      </c>
      <c r="J87" s="28">
        <v>80.0</v>
      </c>
      <c r="K87" s="28">
        <v>80.0</v>
      </c>
      <c r="L87" s="28">
        <v>80.0</v>
      </c>
      <c r="M87" s="29">
        <v>0.0</v>
      </c>
      <c r="N87" s="29">
        <v>0.0</v>
      </c>
      <c r="O87" s="29">
        <v>0.0</v>
      </c>
      <c r="P87" s="7"/>
      <c r="Q87" s="29">
        <f t="shared" si="23"/>
        <v>690</v>
      </c>
      <c r="R87" s="7"/>
      <c r="S87" s="7"/>
      <c r="T87" s="7"/>
      <c r="U87" s="7"/>
      <c r="V87" s="7"/>
      <c r="W87" s="7"/>
      <c r="X87" s="7"/>
    </row>
    <row r="88" ht="19.5" customHeight="1">
      <c r="A88" s="7"/>
      <c r="B88" s="31" t="s">
        <v>29</v>
      </c>
      <c r="C88" s="27"/>
      <c r="D88" s="28"/>
      <c r="E88" s="29">
        <v>0.0</v>
      </c>
      <c r="F88" s="29">
        <v>0.0</v>
      </c>
      <c r="G88" s="29">
        <v>0.0</v>
      </c>
      <c r="H88" s="29">
        <v>0.0</v>
      </c>
      <c r="I88" s="29">
        <v>0.0</v>
      </c>
      <c r="J88" s="29">
        <v>0.0</v>
      </c>
      <c r="K88" s="29">
        <v>0.0</v>
      </c>
      <c r="L88" s="29">
        <v>0.0</v>
      </c>
      <c r="M88" s="29">
        <v>0.0</v>
      </c>
      <c r="N88" s="29">
        <v>0.0</v>
      </c>
      <c r="O88" s="29">
        <v>0.0</v>
      </c>
      <c r="P88" s="7"/>
      <c r="Q88" s="29">
        <f t="shared" si="23"/>
        <v>0</v>
      </c>
      <c r="R88" s="7"/>
      <c r="S88" s="7"/>
      <c r="T88" s="7"/>
      <c r="U88" s="7"/>
      <c r="V88" s="7"/>
      <c r="W88" s="7"/>
      <c r="X88" s="7"/>
    </row>
    <row r="89" ht="19.5" customHeight="1">
      <c r="A89" s="7"/>
      <c r="B89" s="16" t="s">
        <v>81</v>
      </c>
      <c r="C89" s="17"/>
      <c r="D89" s="18">
        <f t="shared" ref="D89:O89" si="24">SUM(D84:D88)</f>
        <v>260</v>
      </c>
      <c r="E89" s="18">
        <f t="shared" si="24"/>
        <v>330</v>
      </c>
      <c r="F89" s="18">
        <f t="shared" si="24"/>
        <v>230</v>
      </c>
      <c r="G89" s="18">
        <f t="shared" si="24"/>
        <v>230</v>
      </c>
      <c r="H89" s="18">
        <f t="shared" si="24"/>
        <v>230</v>
      </c>
      <c r="I89" s="18">
        <f t="shared" si="24"/>
        <v>230</v>
      </c>
      <c r="J89" s="18">
        <f t="shared" si="24"/>
        <v>80</v>
      </c>
      <c r="K89" s="18">
        <f t="shared" si="24"/>
        <v>80</v>
      </c>
      <c r="L89" s="18">
        <f t="shared" si="24"/>
        <v>80</v>
      </c>
      <c r="M89" s="18">
        <f t="shared" si="24"/>
        <v>0</v>
      </c>
      <c r="N89" s="18">
        <f t="shared" si="24"/>
        <v>0</v>
      </c>
      <c r="O89" s="18">
        <f t="shared" si="24"/>
        <v>0</v>
      </c>
      <c r="P89" s="7"/>
      <c r="Q89" s="18">
        <f>SUM(Q84:Q88)</f>
        <v>1750</v>
      </c>
      <c r="R89" s="7"/>
      <c r="S89" s="7"/>
      <c r="T89" s="7"/>
      <c r="U89" s="7"/>
      <c r="V89" s="7"/>
      <c r="W89" s="7"/>
      <c r="X89" s="7"/>
    </row>
    <row r="90" ht="19.5" customHeight="1">
      <c r="A90" s="7"/>
      <c r="B90" s="44"/>
      <c r="C90" s="7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7"/>
      <c r="Q90" s="44"/>
      <c r="R90" s="7"/>
      <c r="S90" s="7"/>
      <c r="T90" s="7"/>
      <c r="U90" s="7"/>
      <c r="V90" s="7"/>
      <c r="W90" s="7"/>
      <c r="X90" s="7"/>
    </row>
    <row r="91" ht="31.5" customHeight="1">
      <c r="A91" s="7"/>
      <c r="B91" s="49" t="s">
        <v>82</v>
      </c>
      <c r="C91" s="25" t="s">
        <v>6</v>
      </c>
      <c r="D91" s="25" t="s">
        <v>7</v>
      </c>
      <c r="E91" s="25" t="s">
        <v>8</v>
      </c>
      <c r="F91" s="25" t="s">
        <v>9</v>
      </c>
      <c r="G91" s="25" t="s">
        <v>10</v>
      </c>
      <c r="H91" s="25" t="s">
        <v>11</v>
      </c>
      <c r="I91" s="25" t="s">
        <v>12</v>
      </c>
      <c r="J91" s="25" t="s">
        <v>13</v>
      </c>
      <c r="K91" s="25" t="s">
        <v>14</v>
      </c>
      <c r="L91" s="25" t="s">
        <v>15</v>
      </c>
      <c r="M91" s="25" t="s">
        <v>16</v>
      </c>
      <c r="N91" s="25" t="s">
        <v>17</v>
      </c>
      <c r="O91" s="25" t="s">
        <v>18</v>
      </c>
      <c r="P91" s="7"/>
      <c r="Q91" s="25" t="s">
        <v>19</v>
      </c>
      <c r="R91" s="7"/>
      <c r="S91" s="7"/>
      <c r="T91" s="7"/>
      <c r="U91" s="7"/>
      <c r="V91" s="7"/>
      <c r="W91" s="7"/>
      <c r="X91" s="7"/>
    </row>
    <row r="92" ht="19.5" customHeight="1">
      <c r="A92" s="36">
        <v>0.39</v>
      </c>
      <c r="B92" s="26" t="s">
        <v>83</v>
      </c>
      <c r="C92" s="27"/>
      <c r="D92" s="29">
        <f>1143+745+1143</f>
        <v>3031</v>
      </c>
      <c r="E92" s="28">
        <v>2600.0</v>
      </c>
      <c r="F92" s="28">
        <v>2600.0</v>
      </c>
      <c r="G92" s="28">
        <v>2600.0</v>
      </c>
      <c r="H92" s="28">
        <v>2600.0</v>
      </c>
      <c r="I92" s="28">
        <v>2600.0</v>
      </c>
      <c r="J92" s="29">
        <f t="shared" ref="J92:O92" si="25">sum(J14,J15)*$A$92</f>
        <v>9750</v>
      </c>
      <c r="K92" s="29">
        <f t="shared" si="25"/>
        <v>9750</v>
      </c>
      <c r="L92" s="29">
        <f t="shared" si="25"/>
        <v>9750</v>
      </c>
      <c r="M92" s="29">
        <f t="shared" si="25"/>
        <v>9750</v>
      </c>
      <c r="N92" s="29">
        <f t="shared" si="25"/>
        <v>9750</v>
      </c>
      <c r="O92" s="29">
        <f t="shared" si="25"/>
        <v>9750</v>
      </c>
      <c r="P92" s="7"/>
      <c r="Q92" s="29">
        <f t="shared" ref="Q92:Q93" si="26">SUM(D92:O92)</f>
        <v>74531</v>
      </c>
      <c r="R92" s="7"/>
      <c r="S92" s="7"/>
      <c r="T92" s="7"/>
      <c r="U92" s="7"/>
      <c r="V92" s="7"/>
      <c r="W92" s="7"/>
      <c r="X92" s="7"/>
    </row>
    <row r="93" ht="19.5" customHeight="1">
      <c r="A93" s="7"/>
      <c r="B93" s="31" t="s">
        <v>29</v>
      </c>
      <c r="C93" s="27"/>
      <c r="D93" s="29">
        <v>0.0</v>
      </c>
      <c r="E93" s="29">
        <v>0.0</v>
      </c>
      <c r="F93" s="29">
        <v>0.0</v>
      </c>
      <c r="G93" s="29">
        <v>0.0</v>
      </c>
      <c r="H93" s="29">
        <v>0.0</v>
      </c>
      <c r="I93" s="29">
        <v>0.0</v>
      </c>
      <c r="J93" s="29">
        <v>0.0</v>
      </c>
      <c r="K93" s="29">
        <v>0.0</v>
      </c>
      <c r="L93" s="29">
        <v>0.0</v>
      </c>
      <c r="M93" s="29">
        <v>0.0</v>
      </c>
      <c r="N93" s="29">
        <v>0.0</v>
      </c>
      <c r="O93" s="29">
        <v>0.0</v>
      </c>
      <c r="P93" s="7"/>
      <c r="Q93" s="29">
        <f t="shared" si="26"/>
        <v>0</v>
      </c>
      <c r="R93" s="7"/>
      <c r="S93" s="7"/>
      <c r="T93" s="7"/>
      <c r="U93" s="7"/>
      <c r="V93" s="7"/>
      <c r="W93" s="7"/>
      <c r="X93" s="7"/>
    </row>
    <row r="94" ht="19.5" customHeight="1">
      <c r="A94" s="7"/>
      <c r="B94" s="16" t="s">
        <v>84</v>
      </c>
      <c r="C94" s="17"/>
      <c r="D94" s="18">
        <f t="shared" ref="D94:O94" si="27">SUM(D92:D93)</f>
        <v>3031</v>
      </c>
      <c r="E94" s="18">
        <f t="shared" si="27"/>
        <v>2600</v>
      </c>
      <c r="F94" s="18">
        <f t="shared" si="27"/>
        <v>2600</v>
      </c>
      <c r="G94" s="18">
        <f t="shared" si="27"/>
        <v>2600</v>
      </c>
      <c r="H94" s="18">
        <f t="shared" si="27"/>
        <v>2600</v>
      </c>
      <c r="I94" s="18">
        <f t="shared" si="27"/>
        <v>2600</v>
      </c>
      <c r="J94" s="18">
        <f t="shared" si="27"/>
        <v>9750</v>
      </c>
      <c r="K94" s="18">
        <f t="shared" si="27"/>
        <v>9750</v>
      </c>
      <c r="L94" s="18">
        <f t="shared" si="27"/>
        <v>9750</v>
      </c>
      <c r="M94" s="18">
        <f t="shared" si="27"/>
        <v>9750</v>
      </c>
      <c r="N94" s="18">
        <f t="shared" si="27"/>
        <v>9750</v>
      </c>
      <c r="O94" s="18">
        <f t="shared" si="27"/>
        <v>9750</v>
      </c>
      <c r="P94" s="7"/>
      <c r="Q94" s="18">
        <f>SUM(Q92:Q93)</f>
        <v>74531</v>
      </c>
      <c r="R94" s="7"/>
      <c r="S94" s="7"/>
      <c r="T94" s="7"/>
      <c r="U94" s="7"/>
      <c r="V94" s="7"/>
      <c r="W94" s="7"/>
      <c r="X94" s="7"/>
    </row>
    <row r="95" ht="19.5" customHeight="1">
      <c r="A95" s="7"/>
      <c r="B95" s="44"/>
      <c r="C95" s="7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7"/>
      <c r="Q95" s="44"/>
      <c r="R95" s="7"/>
      <c r="S95" s="7"/>
      <c r="T95" s="7"/>
      <c r="U95" s="7"/>
      <c r="V95" s="7"/>
      <c r="W95" s="7"/>
      <c r="X95" s="7"/>
    </row>
    <row r="96" ht="19.5" customHeight="1">
      <c r="A96" s="7"/>
      <c r="B96" s="16" t="s">
        <v>21</v>
      </c>
      <c r="C96" s="17"/>
      <c r="D96" s="18">
        <f t="shared" ref="D96:O96" si="28">SUM(D52,D60,D68,D81,D89,D94)</f>
        <v>7798.5</v>
      </c>
      <c r="E96" s="18">
        <f t="shared" si="28"/>
        <v>7317.5</v>
      </c>
      <c r="F96" s="18">
        <f t="shared" si="28"/>
        <v>8527.5</v>
      </c>
      <c r="G96" s="18">
        <f t="shared" si="28"/>
        <v>6557.5</v>
      </c>
      <c r="H96" s="18">
        <f t="shared" si="28"/>
        <v>5932.5</v>
      </c>
      <c r="I96" s="18">
        <f t="shared" si="28"/>
        <v>8432.5</v>
      </c>
      <c r="J96" s="18">
        <f t="shared" si="28"/>
        <v>21502.5</v>
      </c>
      <c r="K96" s="18">
        <f t="shared" si="28"/>
        <v>17202.5</v>
      </c>
      <c r="L96" s="18">
        <f t="shared" si="28"/>
        <v>17202.5</v>
      </c>
      <c r="M96" s="18">
        <f t="shared" si="28"/>
        <v>17122.5</v>
      </c>
      <c r="N96" s="18">
        <f t="shared" si="28"/>
        <v>17122.5</v>
      </c>
      <c r="O96" s="18">
        <f t="shared" si="28"/>
        <v>17722.5</v>
      </c>
      <c r="P96" s="7"/>
      <c r="Q96" s="18">
        <f>SUM(Q52,Q60,Q68,Q81,Q89,Q94)</f>
        <v>152441</v>
      </c>
      <c r="R96" s="7"/>
      <c r="S96" s="7"/>
      <c r="T96" s="7"/>
      <c r="U96" s="7"/>
      <c r="V96" s="7"/>
      <c r="W96" s="7"/>
      <c r="X96" s="7"/>
    </row>
    <row r="97" ht="19.5" customHeight="1">
      <c r="A97" s="7"/>
      <c r="B97" s="50"/>
      <c r="C97" s="7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7"/>
      <c r="Q97" s="42"/>
      <c r="R97" s="7"/>
      <c r="S97" s="7"/>
      <c r="T97" s="7"/>
      <c r="U97" s="7"/>
      <c r="V97" s="7"/>
      <c r="W97" s="7"/>
      <c r="X97" s="7"/>
    </row>
    <row r="98" ht="49.5" customHeight="1">
      <c r="A98" s="43"/>
      <c r="B98" s="51" t="s">
        <v>85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3"/>
      <c r="R98" s="43"/>
      <c r="S98" s="43"/>
      <c r="T98" s="43"/>
      <c r="U98" s="43"/>
      <c r="V98" s="43"/>
      <c r="W98" s="43"/>
      <c r="X98" s="43"/>
      <c r="Y98" s="43"/>
      <c r="Z98" s="43"/>
    </row>
    <row r="99" ht="15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5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5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30.0" customHeight="1">
      <c r="A102" s="54"/>
      <c r="B102" s="55" t="s">
        <v>86</v>
      </c>
      <c r="C102" s="56" t="s">
        <v>87</v>
      </c>
      <c r="D102" s="57" t="s">
        <v>7</v>
      </c>
      <c r="E102" s="57" t="s">
        <v>8</v>
      </c>
      <c r="F102" s="57" t="s">
        <v>9</v>
      </c>
      <c r="G102" s="57" t="s">
        <v>10</v>
      </c>
      <c r="H102" s="57" t="s">
        <v>11</v>
      </c>
      <c r="I102" s="57" t="s">
        <v>12</v>
      </c>
      <c r="J102" s="57" t="s">
        <v>13</v>
      </c>
      <c r="K102" s="57" t="s">
        <v>14</v>
      </c>
      <c r="L102" s="57" t="s">
        <v>15</v>
      </c>
      <c r="M102" s="57" t="s">
        <v>16</v>
      </c>
      <c r="N102" s="57" t="s">
        <v>17</v>
      </c>
      <c r="O102" s="57" t="s">
        <v>18</v>
      </c>
      <c r="P102" s="58"/>
      <c r="Q102" s="59" t="s">
        <v>88</v>
      </c>
      <c r="R102" s="54"/>
      <c r="S102" s="54"/>
      <c r="T102" s="54"/>
      <c r="U102" s="54"/>
      <c r="V102" s="54"/>
      <c r="W102" s="54"/>
      <c r="X102" s="54"/>
      <c r="Y102" s="60"/>
      <c r="Z102" s="60"/>
    </row>
    <row r="103" ht="19.5" customHeight="1">
      <c r="A103" s="78"/>
      <c r="B103" s="61" t="s">
        <v>89</v>
      </c>
      <c r="C103" s="62">
        <v>57000.0</v>
      </c>
      <c r="D103" s="63">
        <f>C103-D63-D67</f>
        <v>55655</v>
      </c>
      <c r="E103" s="63">
        <f t="shared" ref="E103:F103" si="29">D103-E63</f>
        <v>54310</v>
      </c>
      <c r="F103" s="63">
        <f t="shared" si="29"/>
        <v>52965</v>
      </c>
      <c r="G103" s="63">
        <f>39712</f>
        <v>39712</v>
      </c>
      <c r="H103" s="63">
        <f t="shared" ref="H103:O103" si="30">G103-H63</f>
        <v>38132</v>
      </c>
      <c r="I103" s="63">
        <f t="shared" si="30"/>
        <v>36552</v>
      </c>
      <c r="J103" s="63">
        <f t="shared" si="30"/>
        <v>34972</v>
      </c>
      <c r="K103" s="63">
        <f t="shared" si="30"/>
        <v>33392</v>
      </c>
      <c r="L103" s="63">
        <f t="shared" si="30"/>
        <v>31812</v>
      </c>
      <c r="M103" s="63">
        <f t="shared" si="30"/>
        <v>30232</v>
      </c>
      <c r="N103" s="63">
        <f t="shared" si="30"/>
        <v>28652</v>
      </c>
      <c r="O103" s="63">
        <f t="shared" si="30"/>
        <v>27072</v>
      </c>
      <c r="P103" s="64"/>
      <c r="Q103" s="65">
        <f t="shared" ref="Q103:Q104" si="32">Q63</f>
        <v>18020</v>
      </c>
      <c r="R103" s="66"/>
      <c r="S103" s="7"/>
      <c r="T103" s="7"/>
      <c r="U103" s="7"/>
      <c r="V103" s="7"/>
      <c r="W103" s="7"/>
      <c r="X103" s="7"/>
    </row>
    <row r="104" ht="19.5" customHeight="1">
      <c r="A104" s="7"/>
      <c r="B104" s="26" t="s">
        <v>61</v>
      </c>
      <c r="C104" s="62">
        <v>8500.0</v>
      </c>
      <c r="D104" s="63">
        <f t="shared" ref="D104:H104" si="31">C104-D65</f>
        <v>8100</v>
      </c>
      <c r="E104" s="63">
        <f t="shared" si="31"/>
        <v>7700</v>
      </c>
      <c r="F104" s="63">
        <f t="shared" si="31"/>
        <v>7300</v>
      </c>
      <c r="G104" s="63">
        <f t="shared" si="31"/>
        <v>6900</v>
      </c>
      <c r="H104" s="63">
        <f t="shared" si="31"/>
        <v>6500</v>
      </c>
      <c r="I104" s="82">
        <v>6300.0</v>
      </c>
      <c r="J104" s="82">
        <v>0.0</v>
      </c>
      <c r="K104" s="82">
        <v>0.0</v>
      </c>
      <c r="L104" s="82">
        <v>0.0</v>
      </c>
      <c r="M104" s="82">
        <v>0.0</v>
      </c>
      <c r="N104" s="82">
        <v>0.0</v>
      </c>
      <c r="O104" s="82">
        <v>0.0</v>
      </c>
      <c r="P104" s="64"/>
      <c r="Q104" s="65">
        <f t="shared" si="32"/>
        <v>3340</v>
      </c>
      <c r="R104" s="66"/>
      <c r="S104" s="7"/>
      <c r="T104" s="7"/>
      <c r="U104" s="7"/>
      <c r="V104" s="7"/>
      <c r="W104" s="7"/>
      <c r="X104" s="7"/>
    </row>
    <row r="105" ht="19.5" customHeight="1">
      <c r="A105" s="7"/>
      <c r="B105" s="26" t="s">
        <v>62</v>
      </c>
      <c r="C105" s="62">
        <v>2200.0</v>
      </c>
      <c r="D105" s="63">
        <f t="shared" ref="D105:O105" si="33">C105-D66</f>
        <v>2000</v>
      </c>
      <c r="E105" s="63">
        <f t="shared" si="33"/>
        <v>1800</v>
      </c>
      <c r="F105" s="63">
        <f t="shared" si="33"/>
        <v>0</v>
      </c>
      <c r="G105" s="63">
        <f t="shared" si="33"/>
        <v>0</v>
      </c>
      <c r="H105" s="63">
        <f t="shared" si="33"/>
        <v>0</v>
      </c>
      <c r="I105" s="63">
        <f t="shared" si="33"/>
        <v>0</v>
      </c>
      <c r="J105" s="63">
        <f t="shared" si="33"/>
        <v>0</v>
      </c>
      <c r="K105" s="63">
        <f t="shared" si="33"/>
        <v>0</v>
      </c>
      <c r="L105" s="63">
        <f t="shared" si="33"/>
        <v>0</v>
      </c>
      <c r="M105" s="63">
        <f t="shared" si="33"/>
        <v>0</v>
      </c>
      <c r="N105" s="63">
        <f t="shared" si="33"/>
        <v>0</v>
      </c>
      <c r="O105" s="63">
        <f t="shared" si="33"/>
        <v>0</v>
      </c>
      <c r="P105" s="64"/>
      <c r="Q105" s="65">
        <f t="shared" ref="Q105:Q106" si="34">Q66</f>
        <v>2200</v>
      </c>
      <c r="R105" s="66"/>
      <c r="S105" s="7"/>
      <c r="T105" s="7"/>
      <c r="U105" s="7"/>
      <c r="V105" s="7"/>
      <c r="W105" s="7"/>
      <c r="X105" s="7"/>
    </row>
    <row r="106" ht="19.5" customHeight="1">
      <c r="A106" s="7"/>
      <c r="B106" s="26" t="s">
        <v>119</v>
      </c>
      <c r="C106" s="62">
        <v>0.0</v>
      </c>
      <c r="D106" s="82">
        <v>0.0</v>
      </c>
      <c r="E106" s="82">
        <v>0.0</v>
      </c>
      <c r="F106" s="82">
        <v>0.0</v>
      </c>
      <c r="G106" s="82">
        <v>0.0</v>
      </c>
      <c r="H106" s="82">
        <v>0.0</v>
      </c>
      <c r="I106" s="82">
        <v>0.0</v>
      </c>
      <c r="J106" s="82">
        <v>0.0</v>
      </c>
      <c r="K106" s="82">
        <v>0.0</v>
      </c>
      <c r="L106" s="82">
        <v>0.0</v>
      </c>
      <c r="M106" s="82">
        <v>0.0</v>
      </c>
      <c r="N106" s="82">
        <v>0.0</v>
      </c>
      <c r="O106" s="82">
        <v>0.0</v>
      </c>
      <c r="P106" s="64"/>
      <c r="Q106" s="65">
        <f t="shared" si="34"/>
        <v>0</v>
      </c>
      <c r="R106" s="66"/>
      <c r="S106" s="7"/>
      <c r="T106" s="7"/>
      <c r="U106" s="7"/>
      <c r="V106" s="7"/>
      <c r="W106" s="7"/>
      <c r="X106" s="7"/>
    </row>
    <row r="107" ht="19.5" customHeight="1">
      <c r="A107" s="7"/>
      <c r="B107" s="67"/>
      <c r="C107" s="68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70"/>
      <c r="Q107" s="71"/>
      <c r="R107" s="7"/>
      <c r="S107" s="7"/>
      <c r="T107" s="7"/>
      <c r="U107" s="7"/>
      <c r="V107" s="7"/>
      <c r="W107" s="7"/>
      <c r="X107" s="7"/>
    </row>
    <row r="108" ht="19.5" customHeight="1">
      <c r="A108" s="7"/>
      <c r="B108" s="72" t="s">
        <v>90</v>
      </c>
      <c r="C108" s="73">
        <f t="shared" ref="C108:I108" si="35">sum(C103:C105)</f>
        <v>67700</v>
      </c>
      <c r="D108" s="73">
        <f t="shared" si="35"/>
        <v>65755</v>
      </c>
      <c r="E108" s="73">
        <f t="shared" si="35"/>
        <v>63810</v>
      </c>
      <c r="F108" s="73">
        <f t="shared" si="35"/>
        <v>60265</v>
      </c>
      <c r="G108" s="73">
        <f t="shared" si="35"/>
        <v>46612</v>
      </c>
      <c r="H108" s="73">
        <f t="shared" si="35"/>
        <v>44632</v>
      </c>
      <c r="I108" s="73">
        <f t="shared" si="35"/>
        <v>42852</v>
      </c>
      <c r="J108" s="73">
        <f t="shared" ref="J108:O108" si="36">sum(J103:J106)</f>
        <v>34972</v>
      </c>
      <c r="K108" s="73">
        <f t="shared" si="36"/>
        <v>33392</v>
      </c>
      <c r="L108" s="73">
        <f t="shared" si="36"/>
        <v>31812</v>
      </c>
      <c r="M108" s="73">
        <f t="shared" si="36"/>
        <v>30232</v>
      </c>
      <c r="N108" s="73">
        <f t="shared" si="36"/>
        <v>28652</v>
      </c>
      <c r="O108" s="73">
        <f t="shared" si="36"/>
        <v>27072</v>
      </c>
      <c r="P108" s="74"/>
      <c r="Q108" s="75">
        <f>SUM(Q103:Q105)</f>
        <v>23560</v>
      </c>
      <c r="R108" s="66"/>
      <c r="S108" s="7"/>
      <c r="T108" s="7"/>
      <c r="U108" s="7"/>
      <c r="V108" s="7"/>
      <c r="W108" s="7"/>
      <c r="X108" s="7"/>
    </row>
    <row r="109" ht="19.5" customHeight="1">
      <c r="A109" s="7"/>
      <c r="B109" s="76"/>
      <c r="C109" s="68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7"/>
      <c r="Q109" s="71"/>
      <c r="R109" s="7"/>
      <c r="S109" s="7"/>
      <c r="T109" s="7"/>
      <c r="U109" s="7"/>
      <c r="V109" s="7"/>
      <c r="W109" s="7"/>
      <c r="X109" s="7"/>
    </row>
    <row r="110" ht="30.0" customHeight="1">
      <c r="A110" s="54"/>
      <c r="B110" s="55" t="s">
        <v>92</v>
      </c>
      <c r="C110" s="56" t="s">
        <v>87</v>
      </c>
      <c r="D110" s="57" t="s">
        <v>7</v>
      </c>
      <c r="E110" s="57" t="s">
        <v>8</v>
      </c>
      <c r="F110" s="57" t="s">
        <v>9</v>
      </c>
      <c r="G110" s="57" t="s">
        <v>10</v>
      </c>
      <c r="H110" s="57" t="s">
        <v>11</v>
      </c>
      <c r="I110" s="57" t="s">
        <v>12</v>
      </c>
      <c r="J110" s="57" t="s">
        <v>13</v>
      </c>
      <c r="K110" s="57" t="s">
        <v>14</v>
      </c>
      <c r="L110" s="57" t="s">
        <v>15</v>
      </c>
      <c r="M110" s="57" t="s">
        <v>16</v>
      </c>
      <c r="N110" s="57" t="s">
        <v>17</v>
      </c>
      <c r="O110" s="57" t="s">
        <v>18</v>
      </c>
      <c r="P110" s="58"/>
      <c r="Q110" s="59" t="s">
        <v>93</v>
      </c>
      <c r="R110" s="54"/>
      <c r="S110" s="54"/>
      <c r="T110" s="54"/>
      <c r="U110" s="54"/>
      <c r="V110" s="54"/>
      <c r="W110" s="54"/>
      <c r="X110" s="54"/>
      <c r="Y110" s="60"/>
      <c r="Z110" s="60"/>
    </row>
    <row r="111" ht="19.5" customHeight="1">
      <c r="A111" s="7"/>
      <c r="B111" s="61" t="s">
        <v>113</v>
      </c>
      <c r="C111" s="62">
        <v>15000.0</v>
      </c>
      <c r="D111" s="82">
        <v>15000.0</v>
      </c>
      <c r="E111" s="82">
        <v>15000.0</v>
      </c>
      <c r="F111" s="82">
        <v>15000.0</v>
      </c>
      <c r="G111" s="82">
        <v>20000.0</v>
      </c>
      <c r="H111" s="82">
        <v>25000.0</v>
      </c>
      <c r="I111" s="82">
        <v>25000.0</v>
      </c>
      <c r="J111" s="82">
        <v>25000.0</v>
      </c>
      <c r="K111" s="82">
        <v>25000.0</v>
      </c>
      <c r="L111" s="82">
        <v>25000.0</v>
      </c>
      <c r="M111" s="82">
        <v>25000.0</v>
      </c>
      <c r="N111" s="82">
        <v>25000.0</v>
      </c>
      <c r="O111" s="82">
        <v>25000.0</v>
      </c>
      <c r="P111" s="83"/>
      <c r="Q111" s="84">
        <f t="shared" ref="Q111:Q117" si="37">O111-C111</f>
        <v>10000</v>
      </c>
      <c r="R111" s="66"/>
      <c r="S111" s="7"/>
      <c r="T111" s="7"/>
      <c r="U111" s="7"/>
      <c r="V111" s="7"/>
      <c r="W111" s="7"/>
      <c r="X111" s="7"/>
    </row>
    <row r="112" ht="19.5" customHeight="1">
      <c r="A112" s="7"/>
      <c r="B112" s="61" t="s">
        <v>114</v>
      </c>
      <c r="C112" s="62">
        <v>15000.0</v>
      </c>
      <c r="D112" s="82">
        <v>15000.0</v>
      </c>
      <c r="E112" s="82">
        <v>15000.0</v>
      </c>
      <c r="F112" s="82">
        <v>15000.0</v>
      </c>
      <c r="G112" s="82">
        <v>20000.0</v>
      </c>
      <c r="H112" s="82">
        <v>25000.0</v>
      </c>
      <c r="I112" s="82">
        <v>25000.0</v>
      </c>
      <c r="J112" s="82">
        <v>25000.0</v>
      </c>
      <c r="K112" s="82">
        <v>25000.0</v>
      </c>
      <c r="L112" s="82">
        <v>25000.0</v>
      </c>
      <c r="M112" s="82">
        <v>25000.0</v>
      </c>
      <c r="N112" s="82">
        <v>25000.0</v>
      </c>
      <c r="O112" s="82">
        <v>25000.0</v>
      </c>
      <c r="P112" s="83"/>
      <c r="Q112" s="84">
        <f t="shared" si="37"/>
        <v>10000</v>
      </c>
      <c r="R112" s="66"/>
      <c r="S112" s="7"/>
      <c r="T112" s="7"/>
      <c r="U112" s="7"/>
      <c r="V112" s="7"/>
      <c r="W112" s="7"/>
      <c r="X112" s="7"/>
    </row>
    <row r="113" ht="19.5" customHeight="1">
      <c r="A113" s="7"/>
      <c r="B113" s="85" t="s">
        <v>96</v>
      </c>
      <c r="C113" s="62">
        <v>6000.0</v>
      </c>
      <c r="D113" s="86">
        <v>6600.0</v>
      </c>
      <c r="E113" s="86">
        <v>6600.0</v>
      </c>
      <c r="F113" s="86">
        <v>6600.0</v>
      </c>
      <c r="G113" s="86">
        <v>4000.0</v>
      </c>
      <c r="H113" s="86">
        <v>4000.0</v>
      </c>
      <c r="I113" s="104">
        <v>4000.0</v>
      </c>
      <c r="J113" s="86">
        <v>4000.0</v>
      </c>
      <c r="K113" s="86">
        <v>4000.0</v>
      </c>
      <c r="L113" s="86">
        <v>4000.0</v>
      </c>
      <c r="M113" s="86">
        <v>4000.0</v>
      </c>
      <c r="N113" s="86">
        <v>4000.0</v>
      </c>
      <c r="O113" s="86">
        <v>4000.0</v>
      </c>
      <c r="P113" s="83"/>
      <c r="Q113" s="84">
        <f t="shared" si="37"/>
        <v>-2000</v>
      </c>
      <c r="R113" s="66"/>
      <c r="S113" s="7"/>
      <c r="T113" s="7"/>
      <c r="U113" s="7"/>
      <c r="V113" s="7"/>
      <c r="W113" s="7"/>
      <c r="X113" s="7"/>
    </row>
    <row r="114" ht="19.5" customHeight="1">
      <c r="A114" s="7"/>
      <c r="B114" s="85" t="s">
        <v>97</v>
      </c>
      <c r="C114" s="62">
        <v>1600.0</v>
      </c>
      <c r="D114" s="82">
        <f t="shared" ref="D114:F114" si="38">C114+D11</f>
        <v>377.5</v>
      </c>
      <c r="E114" s="82">
        <f t="shared" si="38"/>
        <v>1239.16415</v>
      </c>
      <c r="F114" s="82">
        <f t="shared" si="38"/>
        <v>890.8283</v>
      </c>
      <c r="G114" s="82">
        <v>3500.0</v>
      </c>
      <c r="H114" s="82">
        <v>4000.0</v>
      </c>
      <c r="I114" s="105">
        <v>4600.0</v>
      </c>
      <c r="J114" s="82">
        <f t="shared" ref="J114:O114" si="39">I114+J11</f>
        <v>6597.5</v>
      </c>
      <c r="K114" s="82">
        <f t="shared" si="39"/>
        <v>14395</v>
      </c>
      <c r="L114" s="82">
        <f t="shared" si="39"/>
        <v>22192.5</v>
      </c>
      <c r="M114" s="82">
        <f t="shared" si="39"/>
        <v>30070</v>
      </c>
      <c r="N114" s="82">
        <f t="shared" si="39"/>
        <v>37947.5</v>
      </c>
      <c r="O114" s="82">
        <f t="shared" si="39"/>
        <v>45225</v>
      </c>
      <c r="P114" s="83"/>
      <c r="Q114" s="84">
        <f t="shared" si="37"/>
        <v>43625</v>
      </c>
      <c r="R114" s="66"/>
      <c r="S114" s="7"/>
      <c r="T114" s="7"/>
      <c r="U114" s="7"/>
      <c r="V114" s="7"/>
      <c r="W114" s="7"/>
      <c r="X114" s="7"/>
    </row>
    <row r="115" ht="19.5" customHeight="1">
      <c r="A115" s="7"/>
      <c r="B115" s="85" t="s">
        <v>98</v>
      </c>
      <c r="C115" s="62">
        <v>1800.0</v>
      </c>
      <c r="D115" s="82">
        <v>2600.0</v>
      </c>
      <c r="E115" s="82">
        <v>1000.0</v>
      </c>
      <c r="F115" s="82">
        <v>0.0</v>
      </c>
      <c r="G115" s="82">
        <v>0.0</v>
      </c>
      <c r="H115" s="82">
        <v>0.0</v>
      </c>
      <c r="I115" s="82">
        <v>0.0</v>
      </c>
      <c r="J115" s="82">
        <v>0.0</v>
      </c>
      <c r="K115" s="82">
        <v>0.0</v>
      </c>
      <c r="L115" s="100">
        <v>0.0</v>
      </c>
      <c r="M115" s="100">
        <v>0.0</v>
      </c>
      <c r="N115" s="100">
        <v>0.0</v>
      </c>
      <c r="O115" s="100">
        <v>0.0</v>
      </c>
      <c r="P115" s="83"/>
      <c r="Q115" s="84">
        <f t="shared" si="37"/>
        <v>-1800</v>
      </c>
      <c r="R115" s="66"/>
      <c r="S115" s="7"/>
      <c r="T115" s="7"/>
      <c r="U115" s="7"/>
      <c r="V115" s="7"/>
      <c r="W115" s="7"/>
      <c r="X115" s="7"/>
    </row>
    <row r="116" ht="19.5" customHeight="1">
      <c r="A116" s="7"/>
      <c r="B116" s="85" t="s">
        <v>99</v>
      </c>
      <c r="C116" s="62">
        <v>12000.0</v>
      </c>
      <c r="D116" s="82">
        <v>12100.0</v>
      </c>
      <c r="E116" s="82">
        <f>D116+E33</f>
        <v>13183.333</v>
      </c>
      <c r="F116" s="82">
        <v>10000.0</v>
      </c>
      <c r="G116" s="82">
        <v>15000.0</v>
      </c>
      <c r="H116" s="82">
        <v>14000.0</v>
      </c>
      <c r="I116" s="82">
        <v>2000.0</v>
      </c>
      <c r="J116" s="82">
        <v>2000.0</v>
      </c>
      <c r="K116" s="82">
        <v>2000.0</v>
      </c>
      <c r="L116" s="82">
        <v>2000.0</v>
      </c>
      <c r="M116" s="82">
        <v>2000.0</v>
      </c>
      <c r="N116" s="82">
        <v>2000.0</v>
      </c>
      <c r="O116" s="82">
        <v>2000.0</v>
      </c>
      <c r="P116" s="83"/>
      <c r="Q116" s="84">
        <f t="shared" si="37"/>
        <v>-10000</v>
      </c>
      <c r="R116" s="66"/>
      <c r="S116" s="7"/>
      <c r="T116" s="7"/>
      <c r="U116" s="7"/>
      <c r="V116" s="7"/>
      <c r="W116" s="7"/>
      <c r="X116" s="7"/>
    </row>
    <row r="117" ht="19.5" customHeight="1">
      <c r="A117" s="7"/>
      <c r="B117" s="85" t="s">
        <v>100</v>
      </c>
      <c r="C117" s="62">
        <v>9000.0</v>
      </c>
      <c r="D117" s="82">
        <v>9750.0</v>
      </c>
      <c r="E117" s="82">
        <f>D117+E32+($D$14*0.04)</f>
        <v>11720.83285</v>
      </c>
      <c r="F117" s="82">
        <v>9200.0</v>
      </c>
      <c r="G117" s="82">
        <v>15000.0</v>
      </c>
      <c r="H117" s="82">
        <v>14000.0</v>
      </c>
      <c r="I117" s="82">
        <v>6500.0</v>
      </c>
      <c r="J117" s="82">
        <v>6500.0</v>
      </c>
      <c r="K117" s="82">
        <v>6500.0</v>
      </c>
      <c r="L117" s="82">
        <v>6500.0</v>
      </c>
      <c r="M117" s="82">
        <v>6500.0</v>
      </c>
      <c r="N117" s="82">
        <v>6500.0</v>
      </c>
      <c r="O117" s="82">
        <v>6500.0</v>
      </c>
      <c r="P117" s="83"/>
      <c r="Q117" s="84">
        <f t="shared" si="37"/>
        <v>-2500</v>
      </c>
      <c r="R117" s="66"/>
      <c r="S117" s="7"/>
      <c r="T117" s="7"/>
      <c r="U117" s="7"/>
      <c r="V117" s="7"/>
      <c r="W117" s="7"/>
      <c r="X117" s="7"/>
    </row>
    <row r="118" ht="19.5" customHeight="1">
      <c r="A118" s="87">
        <v>75.0</v>
      </c>
      <c r="B118" s="85" t="s">
        <v>101</v>
      </c>
      <c r="C118" s="62">
        <v>3000.0</v>
      </c>
      <c r="D118" s="82">
        <f t="shared" ref="D118:I118" si="40">C118-$A$118</f>
        <v>2925</v>
      </c>
      <c r="E118" s="82">
        <f t="shared" si="40"/>
        <v>2850</v>
      </c>
      <c r="F118" s="82">
        <f t="shared" si="40"/>
        <v>2775</v>
      </c>
      <c r="G118" s="82">
        <f t="shared" si="40"/>
        <v>2700</v>
      </c>
      <c r="H118" s="82">
        <f t="shared" si="40"/>
        <v>2625</v>
      </c>
      <c r="I118" s="82">
        <f t="shared" si="40"/>
        <v>2550</v>
      </c>
      <c r="J118" s="82">
        <v>0.0</v>
      </c>
      <c r="K118" s="82">
        <v>0.0</v>
      </c>
      <c r="L118" s="82">
        <v>0.0</v>
      </c>
      <c r="M118" s="82">
        <v>0.0</v>
      </c>
      <c r="N118" s="82">
        <v>0.0</v>
      </c>
      <c r="O118" s="82">
        <v>0.0</v>
      </c>
      <c r="P118" s="83"/>
      <c r="Q118" s="84">
        <v>-500.0</v>
      </c>
      <c r="R118" s="66"/>
      <c r="S118" s="7"/>
      <c r="T118" s="7"/>
      <c r="U118" s="7"/>
      <c r="V118" s="7"/>
      <c r="W118" s="7"/>
      <c r="X118" s="7"/>
    </row>
    <row r="119" ht="19.5" customHeight="1">
      <c r="A119" s="7"/>
      <c r="B119" s="85" t="s">
        <v>29</v>
      </c>
      <c r="C119" s="62">
        <v>0.0</v>
      </c>
      <c r="D119" s="82">
        <v>0.0</v>
      </c>
      <c r="E119" s="82">
        <v>0.0</v>
      </c>
      <c r="F119" s="82">
        <v>0.0</v>
      </c>
      <c r="G119" s="82">
        <v>0.0</v>
      </c>
      <c r="H119" s="82">
        <v>0.0</v>
      </c>
      <c r="I119" s="82">
        <v>0.0</v>
      </c>
      <c r="J119" s="82">
        <v>0.0</v>
      </c>
      <c r="K119" s="82">
        <v>0.0</v>
      </c>
      <c r="L119" s="82">
        <v>0.0</v>
      </c>
      <c r="M119" s="82">
        <v>0.0</v>
      </c>
      <c r="N119" s="82">
        <v>0.0</v>
      </c>
      <c r="O119" s="82">
        <v>0.0</v>
      </c>
      <c r="P119" s="83"/>
      <c r="Q119" s="84">
        <v>0.0</v>
      </c>
      <c r="R119" s="66"/>
      <c r="S119" s="7"/>
      <c r="T119" s="7"/>
      <c r="U119" s="7"/>
      <c r="V119" s="7"/>
      <c r="W119" s="7"/>
      <c r="X119" s="7"/>
    </row>
    <row r="120" ht="19.5" customHeight="1">
      <c r="A120" s="7"/>
      <c r="B120" s="67"/>
      <c r="C120" s="6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9"/>
      <c r="Q120" s="90"/>
      <c r="R120" s="7"/>
      <c r="S120" s="7"/>
      <c r="T120" s="7"/>
      <c r="U120" s="7"/>
      <c r="V120" s="7"/>
      <c r="W120" s="7"/>
      <c r="X120" s="7"/>
    </row>
    <row r="121" ht="19.5" customHeight="1">
      <c r="A121" s="7"/>
      <c r="B121" s="72" t="s">
        <v>102</v>
      </c>
      <c r="C121" s="73">
        <f t="shared" ref="C121:E121" si="41">sum(C111:C119)</f>
        <v>63400</v>
      </c>
      <c r="D121" s="73">
        <f t="shared" si="41"/>
        <v>64352.5</v>
      </c>
      <c r="E121" s="73">
        <f t="shared" si="41"/>
        <v>66593.33</v>
      </c>
      <c r="F121" s="73">
        <f>sum(F111:F117)</f>
        <v>56690.8283</v>
      </c>
      <c r="G121" s="73">
        <f t="shared" ref="G121:N121" si="42">sum(G111:G119)</f>
        <v>80200</v>
      </c>
      <c r="H121" s="73">
        <f t="shared" si="42"/>
        <v>88625</v>
      </c>
      <c r="I121" s="73">
        <f t="shared" si="42"/>
        <v>69650</v>
      </c>
      <c r="J121" s="73">
        <f t="shared" si="42"/>
        <v>69097.5</v>
      </c>
      <c r="K121" s="73">
        <f t="shared" si="42"/>
        <v>76895</v>
      </c>
      <c r="L121" s="73">
        <f t="shared" si="42"/>
        <v>84692.5</v>
      </c>
      <c r="M121" s="73">
        <f t="shared" si="42"/>
        <v>92570</v>
      </c>
      <c r="N121" s="73">
        <f t="shared" si="42"/>
        <v>100447.5</v>
      </c>
      <c r="O121" s="73">
        <f>Sum(O111:O119)</f>
        <v>107725</v>
      </c>
      <c r="P121" s="91"/>
      <c r="Q121" s="75">
        <f>SUM(Q111:Q120)</f>
        <v>46825</v>
      </c>
      <c r="R121" s="66"/>
      <c r="S121" s="7"/>
      <c r="T121" s="7"/>
      <c r="U121" s="7"/>
      <c r="V121" s="7"/>
      <c r="W121" s="7"/>
      <c r="X121" s="7"/>
    </row>
    <row r="122" ht="15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15.0" customHeight="1">
      <c r="A123" s="7"/>
      <c r="B123" s="72" t="s">
        <v>103</v>
      </c>
      <c r="C123" s="92">
        <v>584.0</v>
      </c>
      <c r="D123" s="92">
        <v>595.0</v>
      </c>
      <c r="E123" s="92">
        <v>584.0</v>
      </c>
      <c r="F123" s="92">
        <v>605.0</v>
      </c>
      <c r="G123" s="92">
        <v>605.0</v>
      </c>
      <c r="H123" s="92">
        <v>605.0</v>
      </c>
      <c r="I123" s="92">
        <v>611.0</v>
      </c>
      <c r="J123" s="92">
        <v>617.0</v>
      </c>
      <c r="K123" s="92">
        <v>680.0</v>
      </c>
      <c r="L123" s="92">
        <v>680.0</v>
      </c>
      <c r="M123" s="92">
        <v>680.0</v>
      </c>
      <c r="N123" s="92">
        <v>680.0</v>
      </c>
      <c r="O123" s="92">
        <v>680.0</v>
      </c>
      <c r="P123" s="91"/>
      <c r="Q123" s="92">
        <v>617.0</v>
      </c>
      <c r="R123" s="7"/>
      <c r="S123" s="7"/>
      <c r="T123" s="7"/>
      <c r="U123" s="7"/>
      <c r="V123" s="7"/>
      <c r="W123" s="7"/>
      <c r="X123" s="7"/>
    </row>
    <row r="124" ht="15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5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5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5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5.0" customHeight="1">
      <c r="A128" s="7"/>
      <c r="B128" s="7"/>
      <c r="C128" s="7"/>
      <c r="D128" s="9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5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5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5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5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5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5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5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5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5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5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5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5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5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5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5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5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5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5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5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5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5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5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5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5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5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5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5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5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5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5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5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5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5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5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5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5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5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5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5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5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5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5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5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5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5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5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5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5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5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5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5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5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5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5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5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5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5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5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5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5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5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5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5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5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5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5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5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5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5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5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5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5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5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5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5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5">
    <mergeCell ref="B2:C2"/>
    <mergeCell ref="B3:C3"/>
    <mergeCell ref="B5:C5"/>
    <mergeCell ref="B6:C6"/>
    <mergeCell ref="B98:Q98"/>
  </mergeCells>
  <conditionalFormatting sqref="D9:O11 D39:O96 Q39:Q41 D102:O106 D109:O112 D114:O119">
    <cfRule type="cellIs" dxfId="0" priority="1" operator="lessThan">
      <formula>0</formula>
    </cfRule>
  </conditionalFormatting>
  <conditionalFormatting sqref="D14:O19">
    <cfRule type="cellIs" dxfId="0" priority="2" operator="lessThan">
      <formula>0</formula>
    </cfRule>
  </conditionalFormatting>
  <conditionalFormatting sqref="D22:O27">
    <cfRule type="cellIs" dxfId="0" priority="3" operator="lessThan">
      <formula>0</formula>
    </cfRule>
  </conditionalFormatting>
  <conditionalFormatting sqref="D29:O29 Q29">
    <cfRule type="cellIs" dxfId="0" priority="4" operator="lessThan">
      <formula>0</formula>
    </cfRule>
  </conditionalFormatting>
  <conditionalFormatting sqref="D32:O37 C41">
    <cfRule type="cellIs" dxfId="0" priority="5" operator="lessThan">
      <formula>0</formula>
    </cfRule>
  </conditionalFormatting>
  <conditionalFormatting sqref="Q9:Q11">
    <cfRule type="cellIs" dxfId="0" priority="6" operator="lessThan">
      <formula>0</formula>
    </cfRule>
  </conditionalFormatting>
  <conditionalFormatting sqref="Q14:Q19 Q32:Q37 Q55:Q61 Q84:Q90 Q92:Q96">
    <cfRule type="cellIs" dxfId="0" priority="7" operator="lessThan">
      <formula>0</formula>
    </cfRule>
  </conditionalFormatting>
  <conditionalFormatting sqref="Q22:Q27">
    <cfRule type="cellIs" dxfId="0" priority="8" operator="lessThan">
      <formula>0</formula>
    </cfRule>
  </conditionalFormatting>
  <conditionalFormatting sqref="Q43:Q53">
    <cfRule type="cellIs" dxfId="0" priority="9" operator="lessThan">
      <formula>0</formula>
    </cfRule>
  </conditionalFormatting>
  <conditionalFormatting sqref="Q63:Q69 Q71:Q82 Q102:Q121">
    <cfRule type="cellIs" dxfId="0" priority="10" operator="lessThan">
      <formula>0</formula>
    </cfRule>
  </conditionalFormatting>
  <drawing r:id="rId1"/>
  <extLst>
    <ext uri="{05C60535-1F16-4fd2-B633-F4F36F0B64E0}">
      <x14:sparklineGroups>
        <x14:sparklineGroup displayEmptyCellsAs="gap">
          <x14:colorSeries rgb="FF00B050"/>
          <x14:sparklines>
            <x14:sparkline>
              <xm:f>'CHARLEY 2026 Projections'!D9:O9</xm:f>
              <xm:sqref>C9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Projections'!D10:O10</xm:f>
              <xm:sqref>C10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Projections'!D11:O11</xm:f>
              <xm:sqref>C11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Projections'!D14:O14</xm:f>
              <xm:sqref>C14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Projections'!D15:O15</xm:f>
              <xm:sqref>C15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Projections'!D17:O17</xm:f>
              <xm:sqref>C16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Projections'!E18:O18</xm:f>
              <xm:sqref>C17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Projections'!E19:O19</xm:f>
              <xm:sqref>C18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Projections'!D20:O20</xm:f>
              <xm:sqref>C19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Projections'!D23:O23</xm:f>
              <xm:sqref>C22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Projections'!D24:O24</xm:f>
              <xm:sqref>C23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Projections'!D25:O25</xm:f>
              <xm:sqref>C24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Projections'!D26:O26</xm:f>
              <xm:sqref>C25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Projections'!D27:O27</xm:f>
              <xm:sqref>C26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Projections'!D28:O28</xm:f>
              <xm:sqref>C27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Projections'!D30:O30</xm:f>
              <xm:sqref>C29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Projections'!D33:O33</xm:f>
              <xm:sqref>C32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Projections'!D34:O34</xm:f>
              <xm:sqref>C33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Projections'!D36:O36</xm:f>
              <xm:sqref>C37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Projections'!D38:O38</xm:f>
              <xm:sqref>C39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Projections'!D42:O42</xm:f>
              <xm:sqref>C43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Projections'!D43:O43</xm:f>
              <xm:sqref>C44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Projections'!D44:O44</xm:f>
              <xm:sqref>C45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Projections'!D45:O45</xm:f>
              <xm:sqref>C46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Projections'!D46:O46</xm:f>
              <xm:sqref>C47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Projections'!D47:O47</xm:f>
              <xm:sqref>C48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Projections'!D48:O48</xm:f>
              <xm:sqref>C49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Projections'!D49:O49</xm:f>
              <xm:sqref>C50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Projections'!D50:O50</xm:f>
              <xm:sqref>C51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Projections'!D51:O51</xm:f>
              <xm:sqref>C52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Projections'!D54:O54</xm:f>
              <xm:sqref>C55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Projections'!D55:O55</xm:f>
              <xm:sqref>C56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Projections'!D56:O56</xm:f>
              <xm:sqref>C57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Projections'!D57:O57</xm:f>
              <xm:sqref>C58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Projections'!D58:O58</xm:f>
              <xm:sqref>C59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Projections'!D59:O59</xm:f>
              <xm:sqref>C60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Projections'!D62:O62</xm:f>
              <xm:sqref>C63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Projections'!D63:O63</xm:f>
              <xm:sqref>C64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Projections'!D64:O64</xm:f>
              <xm:sqref>C65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Projections'!D66:O66</xm:f>
              <xm:sqref>C67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Projections'!D67:O67</xm:f>
              <xm:sqref>C68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Projections'!D70:O70</xm:f>
              <xm:sqref>C71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Projections'!D71:O71</xm:f>
              <xm:sqref>C72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Projections'!D72:O72</xm:f>
              <xm:sqref>C73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Projections'!D73:O73</xm:f>
              <xm:sqref>C74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Projections'!D74:O74</xm:f>
              <xm:sqref>C75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Projections'!D75:O75</xm:f>
              <xm:sqref>C76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Projections'!D76:O76</xm:f>
              <xm:sqref>C77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Projections'!D77:O77</xm:f>
              <xm:sqref>C78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Projections'!D78:O78</xm:f>
              <xm:sqref>C79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Projections'!D80:O80</xm:f>
              <xm:sqref>C80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Projections'!D81:O81</xm:f>
              <xm:sqref>C81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Projections'!D84:O84</xm:f>
              <xm:sqref>C84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Projections'!D85:O85</xm:f>
              <xm:sqref>C85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Projections'!D86:O86</xm:f>
              <xm:sqref>C86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Projections'!D87:O87</xm:f>
              <xm:sqref>C87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Projections'!D88:O88</xm:f>
              <xm:sqref>C88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Projections'!D89:O89</xm:f>
              <xm:sqref>C89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Projections'!D92:O92</xm:f>
              <xm:sqref>C92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Projections'!D93:O93</xm:f>
              <xm:sqref>C93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Projections'!D94:O94</xm:f>
              <xm:sqref>C94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Projections'!D96:O96</xm:f>
              <xm:sqref>C96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0.57"/>
    <col customWidth="1" min="3" max="34" width="7.29"/>
  </cols>
  <sheetData>
    <row r="1">
      <c r="A1" s="106">
        <v>2026.0</v>
      </c>
    </row>
    <row r="2">
      <c r="A2" s="107" t="s">
        <v>123</v>
      </c>
      <c r="C2" s="60"/>
      <c r="D2" s="108" t="s">
        <v>7</v>
      </c>
      <c r="K2" s="109"/>
      <c r="L2" s="110" t="s">
        <v>124</v>
      </c>
      <c r="S2" s="109"/>
      <c r="T2" s="108" t="s">
        <v>9</v>
      </c>
      <c r="AA2" s="109"/>
      <c r="AB2" s="108" t="s">
        <v>10</v>
      </c>
    </row>
    <row r="3">
      <c r="A3" s="111"/>
      <c r="B3" s="111" t="s">
        <v>125</v>
      </c>
      <c r="C3" s="60"/>
      <c r="D3" s="112" t="s">
        <v>126</v>
      </c>
      <c r="E3" s="112" t="s">
        <v>127</v>
      </c>
      <c r="F3" s="112" t="s">
        <v>128</v>
      </c>
      <c r="G3" s="112" t="s">
        <v>129</v>
      </c>
      <c r="H3" s="112" t="s">
        <v>128</v>
      </c>
      <c r="I3" s="112" t="s">
        <v>130</v>
      </c>
      <c r="J3" s="112" t="s">
        <v>126</v>
      </c>
      <c r="K3" s="60"/>
      <c r="L3" s="112" t="s">
        <v>126</v>
      </c>
      <c r="M3" s="112" t="s">
        <v>127</v>
      </c>
      <c r="N3" s="112" t="s">
        <v>128</v>
      </c>
      <c r="O3" s="112" t="s">
        <v>129</v>
      </c>
      <c r="P3" s="112" t="s">
        <v>128</v>
      </c>
      <c r="Q3" s="112" t="s">
        <v>130</v>
      </c>
      <c r="R3" s="112" t="s">
        <v>126</v>
      </c>
      <c r="S3" s="60"/>
      <c r="T3" s="112" t="s">
        <v>126</v>
      </c>
      <c r="U3" s="112" t="s">
        <v>127</v>
      </c>
      <c r="V3" s="112" t="s">
        <v>128</v>
      </c>
      <c r="W3" s="112" t="s">
        <v>129</v>
      </c>
      <c r="X3" s="112" t="s">
        <v>128</v>
      </c>
      <c r="Y3" s="112" t="s">
        <v>130</v>
      </c>
      <c r="Z3" s="112" t="s">
        <v>126</v>
      </c>
      <c r="AA3" s="60"/>
      <c r="AB3" s="112" t="s">
        <v>126</v>
      </c>
      <c r="AC3" s="112" t="s">
        <v>127</v>
      </c>
      <c r="AD3" s="112" t="s">
        <v>128</v>
      </c>
      <c r="AE3" s="112" t="s">
        <v>129</v>
      </c>
      <c r="AF3" s="112" t="s">
        <v>128</v>
      </c>
      <c r="AG3" s="112" t="s">
        <v>130</v>
      </c>
      <c r="AH3" s="112" t="s">
        <v>126</v>
      </c>
    </row>
    <row r="4">
      <c r="C4" s="60"/>
      <c r="D4" s="113"/>
      <c r="E4" s="113"/>
      <c r="F4" s="113"/>
      <c r="G4" s="113"/>
      <c r="H4" s="114">
        <v>1.0</v>
      </c>
      <c r="I4" s="115">
        <v>2.0</v>
      </c>
      <c r="J4" s="115">
        <v>3.0</v>
      </c>
      <c r="K4" s="116"/>
      <c r="L4" s="117">
        <v>1.0</v>
      </c>
      <c r="M4" s="117">
        <v>2.0</v>
      </c>
      <c r="N4" s="117">
        <v>3.0</v>
      </c>
      <c r="O4" s="117">
        <v>4.0</v>
      </c>
      <c r="P4" s="117">
        <v>5.0</v>
      </c>
      <c r="Q4" s="117">
        <v>6.0</v>
      </c>
      <c r="R4" s="117">
        <v>7.0</v>
      </c>
      <c r="S4" s="116"/>
      <c r="T4" s="117">
        <v>1.0</v>
      </c>
      <c r="U4" s="117">
        <v>2.0</v>
      </c>
      <c r="V4" s="117">
        <v>3.0</v>
      </c>
      <c r="W4" s="117">
        <v>4.0</v>
      </c>
      <c r="X4" s="117">
        <v>5.0</v>
      </c>
      <c r="Y4" s="117">
        <v>6.0</v>
      </c>
      <c r="Z4" s="117">
        <v>7.0</v>
      </c>
      <c r="AA4" s="116"/>
      <c r="AB4" s="113"/>
      <c r="AC4" s="113"/>
      <c r="AD4" s="113"/>
      <c r="AE4" s="115">
        <v>1.0</v>
      </c>
      <c r="AF4" s="115">
        <v>2.0</v>
      </c>
      <c r="AG4" s="114">
        <v>3.0</v>
      </c>
      <c r="AH4" s="117">
        <v>4.0</v>
      </c>
    </row>
    <row r="5">
      <c r="C5" s="60"/>
      <c r="D5" s="117">
        <v>4.0</v>
      </c>
      <c r="E5" s="117">
        <v>5.0</v>
      </c>
      <c r="F5" s="117">
        <v>6.0</v>
      </c>
      <c r="G5" s="117">
        <v>7.0</v>
      </c>
      <c r="H5" s="117">
        <v>8.0</v>
      </c>
      <c r="I5" s="117">
        <v>9.0</v>
      </c>
      <c r="J5" s="117">
        <v>10.0</v>
      </c>
      <c r="K5" s="116"/>
      <c r="L5" s="117">
        <v>8.0</v>
      </c>
      <c r="M5" s="118">
        <v>9.0</v>
      </c>
      <c r="N5" s="117">
        <v>10.0</v>
      </c>
      <c r="O5" s="117">
        <v>11.0</v>
      </c>
      <c r="P5" s="117">
        <v>12.0</v>
      </c>
      <c r="Q5" s="117">
        <v>13.0</v>
      </c>
      <c r="R5" s="117">
        <v>14.0</v>
      </c>
      <c r="S5" s="116"/>
      <c r="T5" s="117">
        <v>8.0</v>
      </c>
      <c r="U5" s="118">
        <v>9.0</v>
      </c>
      <c r="V5" s="117">
        <v>10.0</v>
      </c>
      <c r="W5" s="117">
        <v>11.0</v>
      </c>
      <c r="X5" s="117">
        <v>12.0</v>
      </c>
      <c r="Y5" s="117">
        <v>13.0</v>
      </c>
      <c r="Z5" s="117">
        <v>14.0</v>
      </c>
      <c r="AA5" s="116"/>
      <c r="AB5" s="114">
        <v>5.0</v>
      </c>
      <c r="AC5" s="117">
        <v>6.0</v>
      </c>
      <c r="AD5" s="117">
        <v>7.0</v>
      </c>
      <c r="AE5" s="117">
        <v>8.0</v>
      </c>
      <c r="AF5" s="117">
        <v>9.0</v>
      </c>
      <c r="AG5" s="117">
        <v>10.0</v>
      </c>
      <c r="AH5" s="117">
        <v>11.0</v>
      </c>
    </row>
    <row r="6">
      <c r="A6" s="119"/>
      <c r="B6" s="120" t="s">
        <v>131</v>
      </c>
      <c r="C6" s="60"/>
      <c r="D6" s="117">
        <v>11.0</v>
      </c>
      <c r="E6" s="117">
        <v>12.0</v>
      </c>
      <c r="F6" s="117">
        <v>13.0</v>
      </c>
      <c r="G6" s="117">
        <v>14.0</v>
      </c>
      <c r="H6" s="117">
        <v>15.0</v>
      </c>
      <c r="I6" s="117">
        <v>16.0</v>
      </c>
      <c r="J6" s="117">
        <v>17.0</v>
      </c>
      <c r="K6" s="116"/>
      <c r="L6" s="117">
        <v>15.0</v>
      </c>
      <c r="M6" s="114">
        <v>16.0</v>
      </c>
      <c r="N6" s="117">
        <v>17.0</v>
      </c>
      <c r="O6" s="117">
        <v>18.0</v>
      </c>
      <c r="P6" s="117">
        <v>19.0</v>
      </c>
      <c r="Q6" s="117">
        <v>20.0</v>
      </c>
      <c r="R6" s="117">
        <v>21.0</v>
      </c>
      <c r="S6" s="116"/>
      <c r="T6" s="117">
        <v>15.0</v>
      </c>
      <c r="U6" s="117">
        <v>16.0</v>
      </c>
      <c r="V6" s="117">
        <v>17.0</v>
      </c>
      <c r="W6" s="117">
        <v>18.0</v>
      </c>
      <c r="X6" s="117">
        <v>19.0</v>
      </c>
      <c r="Y6" s="117">
        <v>20.0</v>
      </c>
      <c r="Z6" s="117">
        <v>21.0</v>
      </c>
      <c r="AA6" s="116"/>
      <c r="AB6" s="117">
        <v>12.0</v>
      </c>
      <c r="AC6" s="118">
        <v>13.0</v>
      </c>
      <c r="AD6" s="117">
        <v>14.0</v>
      </c>
      <c r="AE6" s="117">
        <v>15.0</v>
      </c>
      <c r="AF6" s="117">
        <v>16.0</v>
      </c>
      <c r="AG6" s="117">
        <v>17.0</v>
      </c>
      <c r="AH6" s="117">
        <v>18.0</v>
      </c>
    </row>
    <row r="7">
      <c r="A7" s="121"/>
      <c r="B7" s="122" t="s">
        <v>132</v>
      </c>
      <c r="C7" s="60"/>
      <c r="D7" s="117">
        <v>18.0</v>
      </c>
      <c r="E7" s="114">
        <v>19.0</v>
      </c>
      <c r="F7" s="117">
        <v>20.0</v>
      </c>
      <c r="G7" s="117">
        <v>21.0</v>
      </c>
      <c r="H7" s="117">
        <v>22.0</v>
      </c>
      <c r="I7" s="117">
        <v>23.0</v>
      </c>
      <c r="J7" s="117">
        <v>24.0</v>
      </c>
      <c r="K7" s="116"/>
      <c r="L7" s="117">
        <v>22.0</v>
      </c>
      <c r="M7" s="117">
        <v>23.0</v>
      </c>
      <c r="N7" s="117">
        <v>24.0</v>
      </c>
      <c r="O7" s="123">
        <v>25.0</v>
      </c>
      <c r="P7" s="123">
        <v>26.0</v>
      </c>
      <c r="Q7" s="123">
        <v>27.0</v>
      </c>
      <c r="R7" s="117">
        <v>28.0</v>
      </c>
      <c r="S7" s="116"/>
      <c r="T7" s="117">
        <v>22.0</v>
      </c>
      <c r="U7" s="117">
        <v>23.0</v>
      </c>
      <c r="V7" s="117">
        <v>24.0</v>
      </c>
      <c r="W7" s="117">
        <v>25.0</v>
      </c>
      <c r="X7" s="117">
        <v>26.0</v>
      </c>
      <c r="Y7" s="117">
        <v>27.0</v>
      </c>
      <c r="Z7" s="117">
        <v>28.0</v>
      </c>
      <c r="AA7" s="116"/>
      <c r="AB7" s="117">
        <v>19.0</v>
      </c>
      <c r="AC7" s="117">
        <v>20.0</v>
      </c>
      <c r="AD7" s="117">
        <v>21.0</v>
      </c>
      <c r="AE7" s="117">
        <v>22.0</v>
      </c>
      <c r="AF7" s="117">
        <v>23.0</v>
      </c>
      <c r="AG7" s="117">
        <v>24.0</v>
      </c>
      <c r="AH7" s="117">
        <v>25.0</v>
      </c>
    </row>
    <row r="8">
      <c r="A8" s="124"/>
      <c r="B8" s="125" t="s">
        <v>133</v>
      </c>
      <c r="C8" s="116"/>
      <c r="D8" s="117">
        <v>25.0</v>
      </c>
      <c r="E8" s="117">
        <v>26.0</v>
      </c>
      <c r="F8" s="117">
        <v>27.0</v>
      </c>
      <c r="G8" s="117">
        <v>28.0</v>
      </c>
      <c r="H8" s="117">
        <v>29.0</v>
      </c>
      <c r="I8" s="126">
        <v>30.0</v>
      </c>
      <c r="J8" s="117">
        <v>31.0</v>
      </c>
      <c r="K8" s="116"/>
      <c r="L8" s="127"/>
      <c r="M8" s="127"/>
      <c r="N8" s="127"/>
      <c r="O8" s="127"/>
      <c r="P8" s="127"/>
      <c r="Q8" s="127"/>
      <c r="R8" s="127"/>
      <c r="S8" s="116"/>
      <c r="T8" s="117">
        <v>29.0</v>
      </c>
      <c r="U8" s="117">
        <v>30.0</v>
      </c>
      <c r="V8" s="118">
        <v>31.0</v>
      </c>
      <c r="W8" s="127"/>
      <c r="X8" s="127"/>
      <c r="Y8" s="127"/>
      <c r="Z8" s="127"/>
      <c r="AA8" s="116"/>
      <c r="AB8" s="117">
        <v>26.0</v>
      </c>
      <c r="AC8" s="117">
        <v>27.0</v>
      </c>
      <c r="AD8" s="118">
        <v>28.0</v>
      </c>
      <c r="AE8" s="117">
        <v>29.0</v>
      </c>
      <c r="AF8" s="117">
        <v>30.0</v>
      </c>
      <c r="AG8" s="127"/>
      <c r="AH8" s="60"/>
    </row>
    <row r="9">
      <c r="A9" s="60"/>
      <c r="B9" s="128"/>
      <c r="C9" s="60"/>
      <c r="D9" s="60"/>
      <c r="E9" s="60"/>
      <c r="F9" s="60"/>
      <c r="G9" s="60"/>
      <c r="H9" s="60"/>
      <c r="I9" s="60"/>
      <c r="J9" s="127"/>
      <c r="K9" s="60"/>
      <c r="L9" s="127"/>
      <c r="M9" s="127"/>
      <c r="N9" s="127"/>
      <c r="O9" s="127"/>
      <c r="P9" s="127"/>
      <c r="Q9" s="127"/>
      <c r="R9" s="127"/>
      <c r="S9" s="60"/>
      <c r="T9" s="60"/>
      <c r="U9" s="60"/>
      <c r="V9" s="60"/>
      <c r="W9" s="60"/>
      <c r="X9" s="60"/>
      <c r="Y9" s="60"/>
      <c r="Z9" s="60"/>
      <c r="AA9" s="60"/>
      <c r="AB9" s="127"/>
      <c r="AC9" s="127"/>
      <c r="AD9" s="127"/>
      <c r="AE9" s="127"/>
      <c r="AF9" s="127"/>
      <c r="AG9" s="127"/>
      <c r="AH9" s="127"/>
    </row>
    <row r="10">
      <c r="A10" s="60"/>
      <c r="B10" s="128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</row>
    <row r="11">
      <c r="A11" s="129"/>
      <c r="B11" s="130"/>
      <c r="C11" s="60"/>
      <c r="D11" s="131" t="s">
        <v>11</v>
      </c>
      <c r="K11" s="60"/>
      <c r="L11" s="131" t="s">
        <v>12</v>
      </c>
      <c r="S11" s="60"/>
      <c r="T11" s="108" t="s">
        <v>13</v>
      </c>
      <c r="AA11" s="60"/>
      <c r="AB11" s="108" t="s">
        <v>14</v>
      </c>
    </row>
    <row r="12">
      <c r="A12" s="132"/>
      <c r="B12" s="133"/>
      <c r="C12" s="60"/>
      <c r="D12" s="112" t="s">
        <v>126</v>
      </c>
      <c r="E12" s="112" t="s">
        <v>127</v>
      </c>
      <c r="F12" s="112" t="s">
        <v>128</v>
      </c>
      <c r="G12" s="112" t="s">
        <v>129</v>
      </c>
      <c r="H12" s="112" t="s">
        <v>128</v>
      </c>
      <c r="I12" s="112" t="s">
        <v>130</v>
      </c>
      <c r="J12" s="112" t="s">
        <v>126</v>
      </c>
      <c r="K12" s="60"/>
      <c r="L12" s="112" t="s">
        <v>126</v>
      </c>
      <c r="M12" s="112" t="s">
        <v>127</v>
      </c>
      <c r="N12" s="112" t="s">
        <v>128</v>
      </c>
      <c r="O12" s="112" t="s">
        <v>129</v>
      </c>
      <c r="P12" s="112" t="s">
        <v>128</v>
      </c>
      <c r="Q12" s="112" t="s">
        <v>130</v>
      </c>
      <c r="R12" s="112" t="s">
        <v>126</v>
      </c>
      <c r="S12" s="60"/>
      <c r="T12" s="134" t="s">
        <v>126</v>
      </c>
      <c r="U12" s="134" t="s">
        <v>127</v>
      </c>
      <c r="V12" s="134" t="s">
        <v>128</v>
      </c>
      <c r="W12" s="134" t="s">
        <v>129</v>
      </c>
      <c r="X12" s="134" t="s">
        <v>128</v>
      </c>
      <c r="Y12" s="134" t="s">
        <v>130</v>
      </c>
      <c r="Z12" s="134" t="s">
        <v>126</v>
      </c>
      <c r="AA12" s="60"/>
      <c r="AB12" s="134" t="s">
        <v>126</v>
      </c>
      <c r="AC12" s="134" t="s">
        <v>127</v>
      </c>
      <c r="AD12" s="134" t="s">
        <v>128</v>
      </c>
      <c r="AE12" s="134" t="s">
        <v>129</v>
      </c>
      <c r="AF12" s="134" t="s">
        <v>128</v>
      </c>
      <c r="AG12" s="134" t="s">
        <v>130</v>
      </c>
      <c r="AH12" s="134" t="s">
        <v>126</v>
      </c>
    </row>
    <row r="13">
      <c r="A13" s="132"/>
      <c r="B13" s="133"/>
      <c r="C13" s="60"/>
      <c r="D13" s="60"/>
      <c r="E13" s="113"/>
      <c r="F13" s="113"/>
      <c r="G13" s="113"/>
      <c r="H13" s="113"/>
      <c r="I13" s="115">
        <v>1.0</v>
      </c>
      <c r="J13" s="115">
        <v>2.0</v>
      </c>
      <c r="K13" s="60"/>
      <c r="L13" s="135"/>
      <c r="M13" s="117">
        <v>1.0</v>
      </c>
      <c r="N13" s="115">
        <v>2.0</v>
      </c>
      <c r="O13" s="115">
        <v>3.0</v>
      </c>
      <c r="P13" s="117">
        <v>4.0</v>
      </c>
      <c r="Q13" s="115">
        <v>5.0</v>
      </c>
      <c r="R13" s="115">
        <v>6.0</v>
      </c>
      <c r="S13" s="60"/>
      <c r="T13" s="113"/>
      <c r="U13" s="113"/>
      <c r="V13" s="113"/>
      <c r="W13" s="115">
        <v>1.0</v>
      </c>
      <c r="X13" s="115">
        <v>2.0</v>
      </c>
      <c r="Y13" s="114">
        <v>3.0</v>
      </c>
      <c r="Z13" s="114">
        <v>4.0</v>
      </c>
      <c r="AA13" s="60"/>
      <c r="AB13" s="113"/>
      <c r="AC13" s="113"/>
      <c r="AD13" s="113"/>
      <c r="AE13" s="113"/>
      <c r="AF13" s="113"/>
      <c r="AG13" s="113"/>
      <c r="AH13" s="117">
        <v>1.0</v>
      </c>
    </row>
    <row r="14">
      <c r="A14" s="136"/>
      <c r="B14" s="137"/>
      <c r="C14" s="60"/>
      <c r="D14" s="117">
        <v>3.0</v>
      </c>
      <c r="E14" s="117">
        <v>4.0</v>
      </c>
      <c r="F14" s="117">
        <v>5.0</v>
      </c>
      <c r="G14" s="117">
        <v>6.0</v>
      </c>
      <c r="H14" s="117">
        <v>7.0</v>
      </c>
      <c r="I14" s="117">
        <v>8.0</v>
      </c>
      <c r="J14" s="117">
        <v>9.0</v>
      </c>
      <c r="K14" s="60"/>
      <c r="L14" s="118">
        <v>7.0</v>
      </c>
      <c r="M14" s="117">
        <v>8.0</v>
      </c>
      <c r="N14" s="117">
        <v>9.0</v>
      </c>
      <c r="O14" s="117">
        <v>10.0</v>
      </c>
      <c r="P14" s="117">
        <v>11.0</v>
      </c>
      <c r="Q14" s="117">
        <v>12.0</v>
      </c>
      <c r="R14" s="117">
        <v>13.0</v>
      </c>
      <c r="S14" s="60"/>
      <c r="T14" s="117">
        <v>5.0</v>
      </c>
      <c r="U14" s="117">
        <v>6.0</v>
      </c>
      <c r="V14" s="117">
        <v>7.0</v>
      </c>
      <c r="W14" s="117">
        <v>8.0</v>
      </c>
      <c r="X14" s="117">
        <v>9.0</v>
      </c>
      <c r="Y14" s="117">
        <v>10.0</v>
      </c>
      <c r="Z14" s="117">
        <v>11.0</v>
      </c>
      <c r="AA14" s="60"/>
      <c r="AB14" s="117">
        <v>2.0</v>
      </c>
      <c r="AC14" s="117">
        <v>3.0</v>
      </c>
      <c r="AD14" s="138">
        <v>4.0</v>
      </c>
      <c r="AE14" s="138">
        <v>5.0</v>
      </c>
      <c r="AF14" s="138">
        <v>6.0</v>
      </c>
      <c r="AG14" s="117">
        <v>7.0</v>
      </c>
      <c r="AH14" s="117">
        <v>8.0</v>
      </c>
    </row>
    <row r="15">
      <c r="A15" s="132"/>
      <c r="B15" s="133"/>
      <c r="C15" s="60"/>
      <c r="D15" s="117">
        <v>10.0</v>
      </c>
      <c r="E15" s="117">
        <v>11.0</v>
      </c>
      <c r="F15" s="117">
        <v>12.0</v>
      </c>
      <c r="G15" s="117">
        <v>13.0</v>
      </c>
      <c r="H15" s="117">
        <v>14.0</v>
      </c>
      <c r="I15" s="117">
        <v>15.0</v>
      </c>
      <c r="J15" s="117">
        <v>16.0</v>
      </c>
      <c r="K15" s="60"/>
      <c r="L15" s="117">
        <v>14.0</v>
      </c>
      <c r="M15" s="117">
        <v>15.0</v>
      </c>
      <c r="N15" s="117">
        <v>16.0</v>
      </c>
      <c r="O15" s="117">
        <v>17.0</v>
      </c>
      <c r="P15" s="117">
        <v>18.0</v>
      </c>
      <c r="Q15" s="114">
        <v>19.0</v>
      </c>
      <c r="R15" s="117">
        <v>20.0</v>
      </c>
      <c r="S15" s="60"/>
      <c r="T15" s="117">
        <v>12.0</v>
      </c>
      <c r="U15" s="117">
        <v>13.0</v>
      </c>
      <c r="V15" s="117">
        <v>14.0</v>
      </c>
      <c r="W15" s="117">
        <v>15.0</v>
      </c>
      <c r="X15" s="117">
        <v>16.0</v>
      </c>
      <c r="Y15" s="117">
        <v>17.0</v>
      </c>
      <c r="Z15" s="117">
        <v>18.0</v>
      </c>
      <c r="AA15" s="60"/>
      <c r="AB15" s="117">
        <v>9.0</v>
      </c>
      <c r="AC15" s="117">
        <v>10.0</v>
      </c>
      <c r="AD15" s="117">
        <v>11.0</v>
      </c>
      <c r="AE15" s="117">
        <v>12.0</v>
      </c>
      <c r="AF15" s="117">
        <v>13.0</v>
      </c>
      <c r="AG15" s="117">
        <v>14.0</v>
      </c>
      <c r="AH15" s="117">
        <v>15.0</v>
      </c>
    </row>
    <row r="16">
      <c r="A16" s="60"/>
      <c r="B16" s="60"/>
      <c r="C16" s="60"/>
      <c r="D16" s="117">
        <v>17.0</v>
      </c>
      <c r="E16" s="117">
        <v>18.0</v>
      </c>
      <c r="F16" s="117">
        <v>19.0</v>
      </c>
      <c r="G16" s="117">
        <v>20.0</v>
      </c>
      <c r="H16" s="117">
        <v>21.0</v>
      </c>
      <c r="I16" s="117">
        <v>22.0</v>
      </c>
      <c r="J16" s="117">
        <v>23.0</v>
      </c>
      <c r="K16" s="60"/>
      <c r="L16" s="118">
        <v>21.0</v>
      </c>
      <c r="M16" s="117">
        <v>22.0</v>
      </c>
      <c r="N16" s="117">
        <v>23.0</v>
      </c>
      <c r="O16" s="117">
        <v>24.0</v>
      </c>
      <c r="P16" s="117">
        <v>25.0</v>
      </c>
      <c r="Q16" s="117">
        <v>26.0</v>
      </c>
      <c r="R16" s="117">
        <v>27.0</v>
      </c>
      <c r="S16" s="60"/>
      <c r="T16" s="117">
        <v>19.0</v>
      </c>
      <c r="U16" s="117">
        <v>20.0</v>
      </c>
      <c r="V16" s="117">
        <v>21.0</v>
      </c>
      <c r="W16" s="117">
        <v>22.0</v>
      </c>
      <c r="X16" s="117">
        <v>23.0</v>
      </c>
      <c r="Y16" s="117">
        <v>24.0</v>
      </c>
      <c r="Z16" s="117">
        <v>25.0</v>
      </c>
      <c r="AA16" s="60"/>
      <c r="AB16" s="117">
        <v>16.0</v>
      </c>
      <c r="AC16" s="117">
        <v>17.0</v>
      </c>
      <c r="AD16" s="117">
        <v>18.0</v>
      </c>
      <c r="AE16" s="117">
        <v>19.0</v>
      </c>
      <c r="AF16" s="117">
        <v>20.0</v>
      </c>
      <c r="AG16" s="117">
        <v>21.0</v>
      </c>
      <c r="AH16" s="117">
        <v>22.0</v>
      </c>
    </row>
    <row r="17">
      <c r="A17" s="139"/>
      <c r="B17" s="60"/>
      <c r="C17" s="60"/>
      <c r="D17" s="117">
        <v>24.0</v>
      </c>
      <c r="E17" s="114">
        <v>25.0</v>
      </c>
      <c r="F17" s="117">
        <v>26.0</v>
      </c>
      <c r="G17" s="117">
        <v>27.0</v>
      </c>
      <c r="H17" s="117">
        <v>28.0</v>
      </c>
      <c r="I17" s="117">
        <v>29.0</v>
      </c>
      <c r="J17" s="117">
        <v>30.0</v>
      </c>
      <c r="K17" s="60"/>
      <c r="L17" s="118">
        <v>28.0</v>
      </c>
      <c r="M17" s="117">
        <v>29.0</v>
      </c>
      <c r="N17" s="117">
        <v>30.0</v>
      </c>
      <c r="O17" s="127"/>
      <c r="P17" s="127"/>
      <c r="Q17" s="127"/>
      <c r="R17" s="127"/>
      <c r="S17" s="60"/>
      <c r="T17" s="117">
        <v>26.0</v>
      </c>
      <c r="U17" s="117">
        <v>27.0</v>
      </c>
      <c r="V17" s="118">
        <v>28.0</v>
      </c>
      <c r="W17" s="117">
        <v>29.0</v>
      </c>
      <c r="X17" s="117">
        <v>30.0</v>
      </c>
      <c r="Y17" s="117">
        <v>31.0</v>
      </c>
      <c r="Z17" s="60"/>
      <c r="AA17" s="60"/>
      <c r="AB17" s="117">
        <v>23.0</v>
      </c>
      <c r="AC17" s="117">
        <v>24.0</v>
      </c>
      <c r="AD17" s="117">
        <v>25.0</v>
      </c>
      <c r="AE17" s="117">
        <v>26.0</v>
      </c>
      <c r="AF17" s="117">
        <v>27.0</v>
      </c>
      <c r="AG17" s="117">
        <v>28.0</v>
      </c>
      <c r="AH17" s="117">
        <v>29.0</v>
      </c>
    </row>
    <row r="18">
      <c r="A18" s="136"/>
      <c r="B18" s="136"/>
      <c r="C18" s="60"/>
      <c r="D18" s="117">
        <v>31.0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127"/>
      <c r="U18" s="127"/>
      <c r="V18" s="127"/>
      <c r="W18" s="127"/>
      <c r="X18" s="127"/>
      <c r="Y18" s="127"/>
      <c r="Z18" s="127"/>
      <c r="AA18" s="60"/>
      <c r="AB18" s="117">
        <v>30.0</v>
      </c>
      <c r="AC18" s="117">
        <v>31.0</v>
      </c>
      <c r="AD18" s="60"/>
      <c r="AE18" s="60"/>
      <c r="AF18" s="60"/>
      <c r="AG18" s="60"/>
      <c r="AH18" s="60"/>
    </row>
    <row r="19">
      <c r="A19" s="132"/>
      <c r="B19" s="132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</row>
    <row r="20">
      <c r="A20" s="136"/>
      <c r="B20" s="136"/>
      <c r="C20" s="60"/>
      <c r="D20" s="108" t="s">
        <v>15</v>
      </c>
      <c r="K20" s="60"/>
      <c r="L20" s="108" t="s">
        <v>16</v>
      </c>
      <c r="S20" s="60"/>
      <c r="T20" s="108" t="s">
        <v>17</v>
      </c>
      <c r="AA20" s="60"/>
      <c r="AB20" s="108" t="s">
        <v>18</v>
      </c>
    </row>
    <row r="21">
      <c r="A21" s="132"/>
      <c r="B21" s="132"/>
      <c r="C21" s="60"/>
      <c r="D21" s="134" t="s">
        <v>126</v>
      </c>
      <c r="E21" s="134" t="s">
        <v>127</v>
      </c>
      <c r="F21" s="134" t="s">
        <v>128</v>
      </c>
      <c r="G21" s="134" t="s">
        <v>129</v>
      </c>
      <c r="H21" s="134" t="s">
        <v>128</v>
      </c>
      <c r="I21" s="134" t="s">
        <v>130</v>
      </c>
      <c r="J21" s="134" t="s">
        <v>126</v>
      </c>
      <c r="K21" s="60"/>
      <c r="L21" s="134" t="s">
        <v>126</v>
      </c>
      <c r="M21" s="134" t="s">
        <v>127</v>
      </c>
      <c r="N21" s="134" t="s">
        <v>128</v>
      </c>
      <c r="O21" s="134" t="s">
        <v>129</v>
      </c>
      <c r="P21" s="134" t="s">
        <v>128</v>
      </c>
      <c r="Q21" s="134" t="s">
        <v>130</v>
      </c>
      <c r="R21" s="134" t="s">
        <v>126</v>
      </c>
      <c r="S21" s="60"/>
      <c r="T21" s="134" t="s">
        <v>126</v>
      </c>
      <c r="U21" s="134" t="s">
        <v>127</v>
      </c>
      <c r="V21" s="134" t="s">
        <v>128</v>
      </c>
      <c r="W21" s="134" t="s">
        <v>129</v>
      </c>
      <c r="X21" s="134" t="s">
        <v>128</v>
      </c>
      <c r="Y21" s="134" t="s">
        <v>130</v>
      </c>
      <c r="Z21" s="134" t="s">
        <v>126</v>
      </c>
      <c r="AA21" s="60"/>
      <c r="AB21" s="134" t="s">
        <v>126</v>
      </c>
      <c r="AC21" s="134" t="s">
        <v>127</v>
      </c>
      <c r="AD21" s="134" t="s">
        <v>128</v>
      </c>
      <c r="AE21" s="134" t="s">
        <v>129</v>
      </c>
      <c r="AF21" s="134" t="s">
        <v>128</v>
      </c>
      <c r="AG21" s="134" t="s">
        <v>130</v>
      </c>
      <c r="AH21" s="134" t="s">
        <v>126</v>
      </c>
    </row>
    <row r="22">
      <c r="A22" s="136"/>
      <c r="B22" s="136"/>
      <c r="C22" s="60"/>
      <c r="D22" s="113"/>
      <c r="E22" s="113"/>
      <c r="F22" s="115">
        <v>1.0</v>
      </c>
      <c r="G22" s="115">
        <v>2.0</v>
      </c>
      <c r="H22" s="115">
        <v>3.0</v>
      </c>
      <c r="I22" s="115">
        <v>4.0</v>
      </c>
      <c r="J22" s="117">
        <v>5.0</v>
      </c>
      <c r="K22" s="60"/>
      <c r="L22" s="113"/>
      <c r="M22" s="113"/>
      <c r="N22" s="113"/>
      <c r="O22" s="113"/>
      <c r="P22" s="115">
        <v>1.0</v>
      </c>
      <c r="Q22" s="115">
        <v>2.0</v>
      </c>
      <c r="R22" s="115">
        <v>3.0</v>
      </c>
      <c r="S22" s="60"/>
      <c r="T22" s="117">
        <v>1.0</v>
      </c>
      <c r="U22" s="117">
        <v>2.0</v>
      </c>
      <c r="V22" s="117">
        <v>3.0</v>
      </c>
      <c r="W22" s="117">
        <v>4.0</v>
      </c>
      <c r="X22" s="117">
        <v>5.0</v>
      </c>
      <c r="Y22" s="117">
        <v>6.0</v>
      </c>
      <c r="Z22" s="117">
        <v>7.0</v>
      </c>
      <c r="AA22" s="60"/>
      <c r="AB22" s="113"/>
      <c r="AC22" s="113"/>
      <c r="AD22" s="115">
        <v>1.0</v>
      </c>
      <c r="AE22" s="115">
        <v>2.0</v>
      </c>
      <c r="AF22" s="115">
        <v>3.0</v>
      </c>
      <c r="AG22" s="117">
        <v>4.0</v>
      </c>
      <c r="AH22" s="117">
        <v>5.0</v>
      </c>
    </row>
    <row r="23">
      <c r="A23" s="132"/>
      <c r="B23" s="132"/>
      <c r="C23" s="60"/>
      <c r="D23" s="117">
        <v>6.0</v>
      </c>
      <c r="E23" s="114">
        <v>7.0</v>
      </c>
      <c r="F23" s="117">
        <v>8.0</v>
      </c>
      <c r="G23" s="117">
        <v>9.0</v>
      </c>
      <c r="H23" s="117">
        <v>10.0</v>
      </c>
      <c r="I23" s="117">
        <v>11.0</v>
      </c>
      <c r="J23" s="117">
        <v>12.0</v>
      </c>
      <c r="K23" s="60"/>
      <c r="L23" s="117">
        <v>4.0</v>
      </c>
      <c r="M23" s="117">
        <v>5.0</v>
      </c>
      <c r="N23" s="117">
        <v>6.0</v>
      </c>
      <c r="O23" s="117">
        <v>7.0</v>
      </c>
      <c r="P23" s="117">
        <v>8.0</v>
      </c>
      <c r="Q23" s="117">
        <v>9.0</v>
      </c>
      <c r="R23" s="117">
        <v>10.0</v>
      </c>
      <c r="S23" s="60"/>
      <c r="T23" s="117">
        <v>8.0</v>
      </c>
      <c r="U23" s="140">
        <v>9.0</v>
      </c>
      <c r="V23" s="141">
        <v>10.0</v>
      </c>
      <c r="W23" s="142">
        <v>11.0</v>
      </c>
      <c r="X23" s="117">
        <v>12.0</v>
      </c>
      <c r="Y23" s="117">
        <v>13.0</v>
      </c>
      <c r="Z23" s="117">
        <v>14.0</v>
      </c>
      <c r="AA23" s="60"/>
      <c r="AB23" s="117">
        <v>6.0</v>
      </c>
      <c r="AC23" s="117">
        <v>7.0</v>
      </c>
      <c r="AD23" s="117">
        <v>8.0</v>
      </c>
      <c r="AE23" s="117">
        <v>9.0</v>
      </c>
      <c r="AF23" s="117">
        <v>10.0</v>
      </c>
      <c r="AG23" s="117">
        <v>11.0</v>
      </c>
      <c r="AH23" s="117">
        <v>12.0</v>
      </c>
    </row>
    <row r="24">
      <c r="A24" s="136"/>
      <c r="B24" s="136"/>
      <c r="C24" s="60"/>
      <c r="D24" s="117">
        <v>13.0</v>
      </c>
      <c r="E24" s="117">
        <v>14.0</v>
      </c>
      <c r="F24" s="117">
        <v>15.0</v>
      </c>
      <c r="G24" s="117">
        <v>16.0</v>
      </c>
      <c r="H24" s="117">
        <v>17.0</v>
      </c>
      <c r="I24" s="117">
        <v>18.0</v>
      </c>
      <c r="J24" s="117">
        <v>19.0</v>
      </c>
      <c r="K24" s="60"/>
      <c r="L24" s="117">
        <v>11.0</v>
      </c>
      <c r="M24" s="114">
        <v>12.0</v>
      </c>
      <c r="N24" s="117">
        <v>13.0</v>
      </c>
      <c r="O24" s="117">
        <v>14.0</v>
      </c>
      <c r="P24" s="117">
        <v>15.0</v>
      </c>
      <c r="Q24" s="117">
        <v>16.0</v>
      </c>
      <c r="R24" s="117">
        <v>17.0</v>
      </c>
      <c r="S24" s="60"/>
      <c r="T24" s="117">
        <v>15.0</v>
      </c>
      <c r="U24" s="117">
        <v>16.0</v>
      </c>
      <c r="V24" s="117">
        <v>17.0</v>
      </c>
      <c r="W24" s="117">
        <v>18.0</v>
      </c>
      <c r="X24" s="117">
        <v>19.0</v>
      </c>
      <c r="Y24" s="117">
        <v>20.0</v>
      </c>
      <c r="Z24" s="117">
        <v>21.0</v>
      </c>
      <c r="AA24" s="60"/>
      <c r="AB24" s="117">
        <v>13.0</v>
      </c>
      <c r="AC24" s="117">
        <v>14.0</v>
      </c>
      <c r="AD24" s="117">
        <v>15.0</v>
      </c>
      <c r="AE24" s="117">
        <v>16.0</v>
      </c>
      <c r="AF24" s="117">
        <v>17.0</v>
      </c>
      <c r="AG24" s="117">
        <v>18.0</v>
      </c>
      <c r="AH24" s="117">
        <v>19.0</v>
      </c>
    </row>
    <row r="25">
      <c r="A25" s="132"/>
      <c r="B25" s="132"/>
      <c r="C25" s="60"/>
      <c r="D25" s="117">
        <v>20.0</v>
      </c>
      <c r="E25" s="117">
        <v>21.0</v>
      </c>
      <c r="F25" s="117">
        <v>22.0</v>
      </c>
      <c r="G25" s="117">
        <v>23.0</v>
      </c>
      <c r="H25" s="117">
        <v>24.0</v>
      </c>
      <c r="I25" s="117">
        <v>25.0</v>
      </c>
      <c r="J25" s="117">
        <v>26.0</v>
      </c>
      <c r="K25" s="60"/>
      <c r="L25" s="117">
        <v>18.0</v>
      </c>
      <c r="M25" s="117">
        <v>19.0</v>
      </c>
      <c r="N25" s="117">
        <v>20.0</v>
      </c>
      <c r="O25" s="117">
        <v>21.0</v>
      </c>
      <c r="P25" s="117">
        <v>22.0</v>
      </c>
      <c r="Q25" s="117">
        <v>23.0</v>
      </c>
      <c r="R25" s="117">
        <v>24.0</v>
      </c>
      <c r="S25" s="60"/>
      <c r="T25" s="117">
        <v>22.0</v>
      </c>
      <c r="U25" s="117">
        <v>23.0</v>
      </c>
      <c r="V25" s="117">
        <v>24.0</v>
      </c>
      <c r="W25" s="117">
        <v>25.0</v>
      </c>
      <c r="X25" s="114">
        <v>26.0</v>
      </c>
      <c r="Y25" s="117">
        <v>27.0</v>
      </c>
      <c r="Z25" s="117">
        <v>28.0</v>
      </c>
      <c r="AA25" s="60"/>
      <c r="AB25" s="117">
        <v>20.0</v>
      </c>
      <c r="AC25" s="117">
        <v>21.0</v>
      </c>
      <c r="AD25" s="117">
        <v>22.0</v>
      </c>
      <c r="AE25" s="117">
        <v>23.0</v>
      </c>
      <c r="AF25" s="117">
        <v>24.0</v>
      </c>
      <c r="AG25" s="114">
        <v>25.0</v>
      </c>
      <c r="AH25" s="117">
        <v>26.0</v>
      </c>
    </row>
    <row r="26">
      <c r="A26" s="136"/>
      <c r="B26" s="136"/>
      <c r="C26" s="60"/>
      <c r="D26" s="117">
        <v>27.0</v>
      </c>
      <c r="E26" s="117">
        <v>28.0</v>
      </c>
      <c r="F26" s="117">
        <v>29.0</v>
      </c>
      <c r="G26" s="117">
        <v>30.0</v>
      </c>
      <c r="H26" s="127"/>
      <c r="I26" s="127"/>
      <c r="J26" s="60"/>
      <c r="K26" s="60"/>
      <c r="L26" s="117">
        <v>25.0</v>
      </c>
      <c r="M26" s="117">
        <v>26.0</v>
      </c>
      <c r="N26" s="117">
        <v>27.0</v>
      </c>
      <c r="O26" s="117">
        <v>28.0</v>
      </c>
      <c r="P26" s="117">
        <v>29.0</v>
      </c>
      <c r="Q26" s="117">
        <v>30.0</v>
      </c>
      <c r="R26" s="117">
        <v>31.0</v>
      </c>
      <c r="S26" s="60"/>
      <c r="T26" s="117">
        <v>29.0</v>
      </c>
      <c r="U26" s="117">
        <v>30.0</v>
      </c>
      <c r="V26" s="143"/>
      <c r="W26" s="127"/>
      <c r="X26" s="127"/>
      <c r="Y26" s="127"/>
      <c r="Z26" s="127"/>
      <c r="AA26" s="60"/>
      <c r="AB26" s="117">
        <v>27.0</v>
      </c>
      <c r="AC26" s="117">
        <v>28.0</v>
      </c>
      <c r="AD26" s="117">
        <v>29.0</v>
      </c>
      <c r="AE26" s="117">
        <v>30.0</v>
      </c>
      <c r="AF26" s="117">
        <v>31.0</v>
      </c>
      <c r="AG26" s="127"/>
      <c r="AH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127"/>
      <c r="M27" s="127"/>
      <c r="N27" s="127"/>
      <c r="O27" s="127"/>
      <c r="P27" s="127"/>
      <c r="Q27" s="127"/>
      <c r="R27" s="127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127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</row>
    <row r="999">
      <c r="A999" s="144"/>
      <c r="B999" s="144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</row>
    <row r="1000"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  <c r="AE1000" s="144"/>
      <c r="AF1000" s="144"/>
      <c r="AG1000" s="144"/>
      <c r="AH1000" s="144"/>
    </row>
  </sheetData>
  <mergeCells count="14">
    <mergeCell ref="L11:R11"/>
    <mergeCell ref="T11:Z11"/>
    <mergeCell ref="D20:J20"/>
    <mergeCell ref="L20:R20"/>
    <mergeCell ref="T20:Z20"/>
    <mergeCell ref="AB20:AH20"/>
    <mergeCell ref="A1:AH1"/>
    <mergeCell ref="A2:B2"/>
    <mergeCell ref="D2:J2"/>
    <mergeCell ref="L2:R2"/>
    <mergeCell ref="T2:Z2"/>
    <mergeCell ref="AB2:AH2"/>
    <mergeCell ref="D11:J11"/>
    <mergeCell ref="AB11:AH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43.43"/>
    <col customWidth="1" min="16" max="16" width="4.29"/>
  </cols>
  <sheetData>
    <row r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/>
      <c r="B2" s="4" t="s">
        <v>1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>
      <c r="A3" s="8"/>
      <c r="B3" s="9" t="s">
        <v>2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>
      <c r="A4" s="7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>
      <c r="A5" s="3"/>
      <c r="B5" s="4" t="s">
        <v>3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>
      <c r="A6" s="8"/>
      <c r="B6" s="9" t="s">
        <v>4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>
      <c r="A7" s="7"/>
      <c r="B7" s="145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>
      <c r="A8" s="8"/>
      <c r="B8" s="12"/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1"/>
      <c r="Q8" s="15" t="s">
        <v>19</v>
      </c>
    </row>
    <row r="9">
      <c r="A9" s="7"/>
      <c r="B9" s="16" t="s">
        <v>20</v>
      </c>
      <c r="C9" s="17"/>
      <c r="D9" s="18">
        <f t="shared" ref="D9:O9" si="1">D38</f>
        <v>8124.9975</v>
      </c>
      <c r="E9" s="18">
        <f t="shared" si="1"/>
        <v>8124.9975</v>
      </c>
      <c r="F9" s="18">
        <f t="shared" si="1"/>
        <v>8124.9975</v>
      </c>
      <c r="G9" s="18">
        <f t="shared" si="1"/>
        <v>8124.9975</v>
      </c>
      <c r="H9" s="18">
        <f t="shared" si="1"/>
        <v>8124.9975</v>
      </c>
      <c r="I9" s="18">
        <f t="shared" si="1"/>
        <v>8124.9975</v>
      </c>
      <c r="J9" s="18">
        <f t="shared" si="1"/>
        <v>8124.9975</v>
      </c>
      <c r="K9" s="18">
        <f t="shared" si="1"/>
        <v>8124.9975</v>
      </c>
      <c r="L9" s="18">
        <f t="shared" si="1"/>
        <v>8124.9975</v>
      </c>
      <c r="M9" s="18">
        <f t="shared" si="1"/>
        <v>8124.9975</v>
      </c>
      <c r="N9" s="18">
        <f t="shared" si="1"/>
        <v>8124.9975</v>
      </c>
      <c r="O9" s="18">
        <f t="shared" si="1"/>
        <v>11124.9975</v>
      </c>
      <c r="P9" s="19"/>
      <c r="Q9" s="18">
        <f t="shared" ref="Q9:Q10" si="3">SUM(D9:O9)</f>
        <v>100499.97</v>
      </c>
    </row>
    <row r="10">
      <c r="A10" s="7"/>
      <c r="B10" s="16" t="s">
        <v>21</v>
      </c>
      <c r="C10" s="20"/>
      <c r="D10" s="21">
        <f t="shared" ref="D10:O10" si="2">D95</f>
        <v>6237.4993</v>
      </c>
      <c r="E10" s="21">
        <f t="shared" si="2"/>
        <v>6237.4993</v>
      </c>
      <c r="F10" s="21">
        <f t="shared" si="2"/>
        <v>6237.4993</v>
      </c>
      <c r="G10" s="21">
        <f t="shared" si="2"/>
        <v>6237.4993</v>
      </c>
      <c r="H10" s="21">
        <f t="shared" si="2"/>
        <v>6237.4993</v>
      </c>
      <c r="I10" s="21">
        <f t="shared" si="2"/>
        <v>6237.4993</v>
      </c>
      <c r="J10" s="21">
        <f t="shared" si="2"/>
        <v>6237.4993</v>
      </c>
      <c r="K10" s="21">
        <f t="shared" si="2"/>
        <v>6237.4993</v>
      </c>
      <c r="L10" s="21">
        <f t="shared" si="2"/>
        <v>6237.4993</v>
      </c>
      <c r="M10" s="21">
        <f t="shared" si="2"/>
        <v>6237.4993</v>
      </c>
      <c r="N10" s="21">
        <f t="shared" si="2"/>
        <v>6237.4993</v>
      </c>
      <c r="O10" s="21">
        <f t="shared" si="2"/>
        <v>6237.4993</v>
      </c>
      <c r="P10" s="7"/>
      <c r="Q10" s="21">
        <f t="shared" si="3"/>
        <v>74849.9916</v>
      </c>
    </row>
    <row r="11">
      <c r="A11" s="7"/>
      <c r="B11" s="16" t="s">
        <v>22</v>
      </c>
      <c r="C11" s="22"/>
      <c r="D11" s="23">
        <f t="shared" ref="D11:O11" si="4">D9-D10</f>
        <v>1887.4982</v>
      </c>
      <c r="E11" s="23">
        <f t="shared" si="4"/>
        <v>1887.4982</v>
      </c>
      <c r="F11" s="23">
        <f t="shared" si="4"/>
        <v>1887.4982</v>
      </c>
      <c r="G11" s="23">
        <f t="shared" si="4"/>
        <v>1887.4982</v>
      </c>
      <c r="H11" s="23">
        <f t="shared" si="4"/>
        <v>1887.4982</v>
      </c>
      <c r="I11" s="23">
        <f t="shared" si="4"/>
        <v>1887.4982</v>
      </c>
      <c r="J11" s="23">
        <f t="shared" si="4"/>
        <v>1887.4982</v>
      </c>
      <c r="K11" s="23">
        <f t="shared" si="4"/>
        <v>1887.4982</v>
      </c>
      <c r="L11" s="23">
        <f t="shared" si="4"/>
        <v>1887.4982</v>
      </c>
      <c r="M11" s="23">
        <f t="shared" si="4"/>
        <v>1887.4982</v>
      </c>
      <c r="N11" s="23">
        <f t="shared" si="4"/>
        <v>1887.4982</v>
      </c>
      <c r="O11" s="23">
        <f t="shared" si="4"/>
        <v>4887.4982</v>
      </c>
      <c r="P11" s="19"/>
      <c r="Q11" s="23">
        <f>Q9-Q10</f>
        <v>25649.9784</v>
      </c>
    </row>
    <row r="12">
      <c r="A12" s="7"/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9"/>
      <c r="Q12" s="7"/>
    </row>
    <row r="13">
      <c r="A13" s="146"/>
      <c r="B13" s="147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</row>
    <row r="14">
      <c r="A14" s="8"/>
      <c r="B14" s="24" t="s">
        <v>23</v>
      </c>
      <c r="C14" s="15" t="s">
        <v>6</v>
      </c>
      <c r="D14" s="25" t="s">
        <v>7</v>
      </c>
      <c r="E14" s="25" t="s">
        <v>8</v>
      </c>
      <c r="F14" s="25" t="s">
        <v>9</v>
      </c>
      <c r="G14" s="25" t="s">
        <v>10</v>
      </c>
      <c r="H14" s="25" t="s">
        <v>11</v>
      </c>
      <c r="I14" s="25" t="s">
        <v>12</v>
      </c>
      <c r="J14" s="25" t="s">
        <v>13</v>
      </c>
      <c r="K14" s="25" t="s">
        <v>14</v>
      </c>
      <c r="L14" s="25" t="s">
        <v>15</v>
      </c>
      <c r="M14" s="25" t="s">
        <v>16</v>
      </c>
      <c r="N14" s="25" t="s">
        <v>17</v>
      </c>
      <c r="O14" s="25" t="s">
        <v>18</v>
      </c>
      <c r="P14" s="11"/>
      <c r="Q14" s="25" t="s">
        <v>19</v>
      </c>
    </row>
    <row r="15">
      <c r="A15" s="7"/>
      <c r="B15" s="26" t="s">
        <v>24</v>
      </c>
      <c r="C15" s="27"/>
      <c r="D15" s="28">
        <v>10833.33</v>
      </c>
      <c r="E15" s="28">
        <v>10833.33</v>
      </c>
      <c r="F15" s="28">
        <v>10833.33</v>
      </c>
      <c r="G15" s="28">
        <v>10833.33</v>
      </c>
      <c r="H15" s="28">
        <v>10833.33</v>
      </c>
      <c r="I15" s="28">
        <v>10833.33</v>
      </c>
      <c r="J15" s="28">
        <v>10833.33</v>
      </c>
      <c r="K15" s="28">
        <v>10833.33</v>
      </c>
      <c r="L15" s="28">
        <v>10833.33</v>
      </c>
      <c r="M15" s="28">
        <v>10833.33</v>
      </c>
      <c r="N15" s="28">
        <v>10833.33</v>
      </c>
      <c r="O15" s="28">
        <v>10833.33</v>
      </c>
      <c r="P15" s="19"/>
      <c r="Q15" s="29">
        <f t="shared" ref="Q15:Q19" si="5">SUM(D15:O15)</f>
        <v>129999.96</v>
      </c>
    </row>
    <row r="16">
      <c r="A16" s="7"/>
      <c r="B16" s="26" t="s">
        <v>25</v>
      </c>
      <c r="C16" s="27"/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0.0</v>
      </c>
      <c r="L16" s="29">
        <v>0.0</v>
      </c>
      <c r="M16" s="29">
        <v>0.0</v>
      </c>
      <c r="N16" s="29">
        <v>0.0</v>
      </c>
      <c r="O16" s="28">
        <v>3000.0</v>
      </c>
      <c r="P16" s="19"/>
      <c r="Q16" s="29">
        <f t="shared" si="5"/>
        <v>3000</v>
      </c>
    </row>
    <row r="17">
      <c r="A17" s="7"/>
      <c r="B17" s="26" t="s">
        <v>26</v>
      </c>
      <c r="C17" s="27"/>
      <c r="D17" s="29">
        <v>0.0</v>
      </c>
      <c r="E17" s="29">
        <v>0.0</v>
      </c>
      <c r="F17" s="29">
        <v>0.0</v>
      </c>
      <c r="G17" s="29">
        <v>0.0</v>
      </c>
      <c r="H17" s="29">
        <v>0.0</v>
      </c>
      <c r="I17" s="29">
        <v>0.0</v>
      </c>
      <c r="J17" s="29">
        <v>0.0</v>
      </c>
      <c r="K17" s="29">
        <v>0.0</v>
      </c>
      <c r="L17" s="29">
        <v>0.0</v>
      </c>
      <c r="M17" s="29">
        <v>0.0</v>
      </c>
      <c r="N17" s="29">
        <v>0.0</v>
      </c>
      <c r="O17" s="29">
        <v>0.0</v>
      </c>
      <c r="P17" s="19"/>
      <c r="Q17" s="29">
        <f t="shared" si="5"/>
        <v>0</v>
      </c>
    </row>
    <row r="18">
      <c r="A18" s="7"/>
      <c r="B18" s="26" t="s">
        <v>27</v>
      </c>
      <c r="C18" s="27"/>
      <c r="D18" s="29">
        <v>0.0</v>
      </c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0.0</v>
      </c>
      <c r="K18" s="29">
        <v>0.0</v>
      </c>
      <c r="L18" s="29">
        <v>0.0</v>
      </c>
      <c r="M18" s="29">
        <v>0.0</v>
      </c>
      <c r="N18" s="29">
        <v>0.0</v>
      </c>
      <c r="O18" s="29">
        <v>0.0</v>
      </c>
      <c r="P18" s="19"/>
      <c r="Q18" s="29">
        <f t="shared" si="5"/>
        <v>0</v>
      </c>
    </row>
    <row r="19">
      <c r="A19" s="7"/>
      <c r="B19" s="26" t="s">
        <v>29</v>
      </c>
      <c r="C19" s="27"/>
      <c r="D19" s="29">
        <v>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0.0</v>
      </c>
      <c r="O19" s="29">
        <v>0.0</v>
      </c>
      <c r="P19" s="19"/>
      <c r="Q19" s="29">
        <f t="shared" si="5"/>
        <v>0</v>
      </c>
    </row>
    <row r="20">
      <c r="A20" s="7"/>
      <c r="B20" s="16" t="s">
        <v>30</v>
      </c>
      <c r="C20" s="17"/>
      <c r="D20" s="18">
        <f t="shared" ref="D20:O20" si="6">SUM(D15:D19)</f>
        <v>10833.33</v>
      </c>
      <c r="E20" s="18">
        <f t="shared" si="6"/>
        <v>10833.33</v>
      </c>
      <c r="F20" s="18">
        <f t="shared" si="6"/>
        <v>10833.33</v>
      </c>
      <c r="G20" s="18">
        <f t="shared" si="6"/>
        <v>10833.33</v>
      </c>
      <c r="H20" s="18">
        <f t="shared" si="6"/>
        <v>10833.33</v>
      </c>
      <c r="I20" s="18">
        <f t="shared" si="6"/>
        <v>10833.33</v>
      </c>
      <c r="J20" s="18">
        <f t="shared" si="6"/>
        <v>10833.33</v>
      </c>
      <c r="K20" s="18">
        <f t="shared" si="6"/>
        <v>10833.33</v>
      </c>
      <c r="L20" s="18">
        <f t="shared" si="6"/>
        <v>10833.33</v>
      </c>
      <c r="M20" s="18">
        <f t="shared" si="6"/>
        <v>10833.33</v>
      </c>
      <c r="N20" s="18">
        <f t="shared" si="6"/>
        <v>10833.33</v>
      </c>
      <c r="O20" s="18">
        <f t="shared" si="6"/>
        <v>13833.33</v>
      </c>
      <c r="P20" s="19"/>
      <c r="Q20" s="18">
        <f>SUM(Q15:Q19)</f>
        <v>132999.96</v>
      </c>
    </row>
    <row r="21">
      <c r="A21" s="7"/>
      <c r="B21" s="7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9"/>
      <c r="Q21" s="7"/>
    </row>
    <row r="22">
      <c r="A22" s="7"/>
      <c r="B22" s="24" t="s">
        <v>31</v>
      </c>
      <c r="C22" s="15" t="s">
        <v>6</v>
      </c>
      <c r="D22" s="15" t="s">
        <v>7</v>
      </c>
      <c r="E22" s="15" t="s">
        <v>8</v>
      </c>
      <c r="F22" s="15" t="s">
        <v>9</v>
      </c>
      <c r="G22" s="15" t="s">
        <v>10</v>
      </c>
      <c r="H22" s="15" t="s">
        <v>11</v>
      </c>
      <c r="I22" s="15" t="s">
        <v>12</v>
      </c>
      <c r="J22" s="15" t="s">
        <v>13</v>
      </c>
      <c r="K22" s="15" t="s">
        <v>14</v>
      </c>
      <c r="L22" s="15" t="s">
        <v>15</v>
      </c>
      <c r="M22" s="15" t="s">
        <v>16</v>
      </c>
      <c r="N22" s="15" t="s">
        <v>17</v>
      </c>
      <c r="O22" s="15" t="s">
        <v>18</v>
      </c>
      <c r="P22" s="19"/>
      <c r="Q22" s="25" t="s">
        <v>19</v>
      </c>
    </row>
    <row r="23">
      <c r="A23" s="30"/>
      <c r="B23" s="31" t="s">
        <v>32</v>
      </c>
      <c r="C23" s="27"/>
      <c r="D23" s="32">
        <v>0.0</v>
      </c>
      <c r="E23" s="32">
        <v>0.0</v>
      </c>
      <c r="F23" s="32">
        <v>0.0</v>
      </c>
      <c r="G23" s="33">
        <v>0.0</v>
      </c>
      <c r="H23" s="33">
        <v>0.0</v>
      </c>
      <c r="I23" s="33">
        <v>0.0</v>
      </c>
      <c r="J23" s="33">
        <v>0.0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  <c r="P23" s="19"/>
      <c r="Q23" s="33">
        <f t="shared" ref="Q23:Q27" si="7">SUM(D23:O23)</f>
        <v>0</v>
      </c>
    </row>
    <row r="24">
      <c r="A24" s="7"/>
      <c r="B24" s="31" t="s">
        <v>33</v>
      </c>
      <c r="C24" s="27"/>
      <c r="D24" s="32">
        <v>0.0</v>
      </c>
      <c r="E24" s="32">
        <v>0.0</v>
      </c>
      <c r="F24" s="32">
        <v>0.0</v>
      </c>
      <c r="G24" s="33">
        <v>0.0</v>
      </c>
      <c r="H24" s="33">
        <v>0.0</v>
      </c>
      <c r="I24" s="33">
        <v>0.0</v>
      </c>
      <c r="J24" s="33">
        <v>0.0</v>
      </c>
      <c r="K24" s="33">
        <v>0.0</v>
      </c>
      <c r="L24" s="33">
        <v>0.0</v>
      </c>
      <c r="M24" s="33">
        <v>0.0</v>
      </c>
      <c r="N24" s="33">
        <v>0.0</v>
      </c>
      <c r="O24" s="33">
        <v>0.0</v>
      </c>
      <c r="P24" s="34"/>
      <c r="Q24" s="33">
        <f t="shared" si="7"/>
        <v>0</v>
      </c>
    </row>
    <row r="25">
      <c r="A25" s="7"/>
      <c r="B25" s="31" t="s">
        <v>34</v>
      </c>
      <c r="C25" s="27"/>
      <c r="D25" s="32">
        <v>0.0</v>
      </c>
      <c r="E25" s="32">
        <v>0.0</v>
      </c>
      <c r="F25" s="32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4"/>
      <c r="Q25" s="33">
        <f t="shared" si="7"/>
        <v>0</v>
      </c>
    </row>
    <row r="26">
      <c r="A26" s="7"/>
      <c r="B26" s="31" t="s">
        <v>35</v>
      </c>
      <c r="C26" s="27"/>
      <c r="D26" s="32">
        <v>0.0</v>
      </c>
      <c r="E26" s="32">
        <v>0.0</v>
      </c>
      <c r="F26" s="32">
        <v>0.0</v>
      </c>
      <c r="G26" s="33">
        <v>0.0</v>
      </c>
      <c r="H26" s="33">
        <v>0.0</v>
      </c>
      <c r="I26" s="33">
        <v>0.0</v>
      </c>
      <c r="J26" s="33">
        <v>0.0</v>
      </c>
      <c r="K26" s="33">
        <v>0.0</v>
      </c>
      <c r="L26" s="33">
        <v>0.0</v>
      </c>
      <c r="M26" s="33">
        <v>0.0</v>
      </c>
      <c r="N26" s="33">
        <v>0.0</v>
      </c>
      <c r="O26" s="33">
        <v>0.0</v>
      </c>
      <c r="P26" s="34"/>
      <c r="Q26" s="33">
        <f t="shared" si="7"/>
        <v>0</v>
      </c>
    </row>
    <row r="27">
      <c r="A27" s="3"/>
      <c r="B27" s="31" t="s">
        <v>29</v>
      </c>
      <c r="C27" s="27"/>
      <c r="D27" s="32">
        <v>0.0</v>
      </c>
      <c r="E27" s="32">
        <v>0.0</v>
      </c>
      <c r="F27" s="32">
        <v>0.0</v>
      </c>
      <c r="G27" s="33">
        <v>0.0</v>
      </c>
      <c r="H27" s="33">
        <v>0.0</v>
      </c>
      <c r="I27" s="33">
        <v>0.0</v>
      </c>
      <c r="J27" s="33">
        <v>0.0</v>
      </c>
      <c r="K27" s="33">
        <v>0.0</v>
      </c>
      <c r="L27" s="33">
        <v>0.0</v>
      </c>
      <c r="M27" s="33">
        <v>0.0</v>
      </c>
      <c r="N27" s="33">
        <v>0.0</v>
      </c>
      <c r="O27" s="33">
        <v>0.0</v>
      </c>
      <c r="P27" s="34"/>
      <c r="Q27" s="33">
        <f t="shared" si="7"/>
        <v>0</v>
      </c>
    </row>
    <row r="28">
      <c r="A28" s="7"/>
      <c r="B28" s="16" t="s">
        <v>36</v>
      </c>
      <c r="C28" s="17"/>
      <c r="D28" s="18">
        <f t="shared" ref="D28:O28" si="8">SUM(D23:D27)</f>
        <v>0</v>
      </c>
      <c r="E28" s="18">
        <f t="shared" si="8"/>
        <v>0</v>
      </c>
      <c r="F28" s="18">
        <f t="shared" si="8"/>
        <v>0</v>
      </c>
      <c r="G28" s="18">
        <f t="shared" si="8"/>
        <v>0</v>
      </c>
      <c r="H28" s="18">
        <f t="shared" si="8"/>
        <v>0</v>
      </c>
      <c r="I28" s="18">
        <f t="shared" si="8"/>
        <v>0</v>
      </c>
      <c r="J28" s="18">
        <f t="shared" si="8"/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9"/>
      <c r="Q28" s="18">
        <f>SUM(Q23:Q27)</f>
        <v>0</v>
      </c>
    </row>
    <row r="29">
      <c r="A29" s="7"/>
      <c r="B29" s="7"/>
      <c r="C29" s="1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9"/>
      <c r="Q29" s="7"/>
    </row>
    <row r="30">
      <c r="A30" s="7"/>
      <c r="B30" s="16" t="s">
        <v>37</v>
      </c>
      <c r="C30" s="17"/>
      <c r="D30" s="18">
        <f t="shared" ref="D30:O30" si="9">D20-D28</f>
        <v>10833.33</v>
      </c>
      <c r="E30" s="18">
        <f t="shared" si="9"/>
        <v>10833.33</v>
      </c>
      <c r="F30" s="18">
        <f t="shared" si="9"/>
        <v>10833.33</v>
      </c>
      <c r="G30" s="18">
        <f t="shared" si="9"/>
        <v>10833.33</v>
      </c>
      <c r="H30" s="18">
        <f t="shared" si="9"/>
        <v>10833.33</v>
      </c>
      <c r="I30" s="18">
        <f t="shared" si="9"/>
        <v>10833.33</v>
      </c>
      <c r="J30" s="18">
        <f t="shared" si="9"/>
        <v>10833.33</v>
      </c>
      <c r="K30" s="18">
        <f t="shared" si="9"/>
        <v>10833.33</v>
      </c>
      <c r="L30" s="18">
        <f t="shared" si="9"/>
        <v>10833.33</v>
      </c>
      <c r="M30" s="18">
        <f t="shared" si="9"/>
        <v>10833.33</v>
      </c>
      <c r="N30" s="18">
        <f t="shared" si="9"/>
        <v>10833.33</v>
      </c>
      <c r="O30" s="18">
        <f t="shared" si="9"/>
        <v>13833.33</v>
      </c>
      <c r="P30" s="19"/>
      <c r="Q30" s="18">
        <f>Q20-Q28</f>
        <v>132999.96</v>
      </c>
    </row>
    <row r="31">
      <c r="A31" s="7"/>
      <c r="B31" s="7"/>
      <c r="C31" s="1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9"/>
      <c r="Q31" s="7"/>
    </row>
    <row r="32">
      <c r="A32" s="7"/>
      <c r="B32" s="35" t="s">
        <v>134</v>
      </c>
      <c r="C32" s="15" t="s">
        <v>6</v>
      </c>
      <c r="D32" s="15" t="s">
        <v>7</v>
      </c>
      <c r="E32" s="15" t="s">
        <v>8</v>
      </c>
      <c r="F32" s="15" t="s">
        <v>9</v>
      </c>
      <c r="G32" s="15" t="s">
        <v>10</v>
      </c>
      <c r="H32" s="15" t="s">
        <v>11</v>
      </c>
      <c r="I32" s="15" t="s">
        <v>12</v>
      </c>
      <c r="J32" s="15" t="s">
        <v>13</v>
      </c>
      <c r="K32" s="15" t="s">
        <v>14</v>
      </c>
      <c r="L32" s="15" t="s">
        <v>15</v>
      </c>
      <c r="M32" s="15" t="s">
        <v>16</v>
      </c>
      <c r="N32" s="15" t="s">
        <v>17</v>
      </c>
      <c r="O32" s="15" t="s">
        <v>18</v>
      </c>
      <c r="P32" s="19"/>
      <c r="Q32" s="25" t="s">
        <v>19</v>
      </c>
    </row>
    <row r="33">
      <c r="A33" s="36">
        <v>0.15</v>
      </c>
      <c r="B33" s="26" t="s">
        <v>135</v>
      </c>
      <c r="C33" s="27"/>
      <c r="D33" s="32">
        <f t="shared" ref="D33:O33" si="10">D15*$A$33</f>
        <v>1624.9995</v>
      </c>
      <c r="E33" s="32">
        <f t="shared" si="10"/>
        <v>1624.9995</v>
      </c>
      <c r="F33" s="32">
        <f t="shared" si="10"/>
        <v>1624.9995</v>
      </c>
      <c r="G33" s="32">
        <f t="shared" si="10"/>
        <v>1624.9995</v>
      </c>
      <c r="H33" s="32">
        <f t="shared" si="10"/>
        <v>1624.9995</v>
      </c>
      <c r="I33" s="32">
        <f t="shared" si="10"/>
        <v>1624.9995</v>
      </c>
      <c r="J33" s="32">
        <f t="shared" si="10"/>
        <v>1624.9995</v>
      </c>
      <c r="K33" s="32">
        <f t="shared" si="10"/>
        <v>1624.9995</v>
      </c>
      <c r="L33" s="32">
        <f t="shared" si="10"/>
        <v>1624.9995</v>
      </c>
      <c r="M33" s="32">
        <f t="shared" si="10"/>
        <v>1624.9995</v>
      </c>
      <c r="N33" s="32">
        <f t="shared" si="10"/>
        <v>1624.9995</v>
      </c>
      <c r="O33" s="32">
        <f t="shared" si="10"/>
        <v>1624.9995</v>
      </c>
      <c r="P33" s="19"/>
      <c r="Q33" s="33">
        <f t="shared" ref="Q33:Q35" si="12">SUM(D33:O33)</f>
        <v>19499.994</v>
      </c>
    </row>
    <row r="34">
      <c r="A34" s="36">
        <v>0.1</v>
      </c>
      <c r="B34" s="26" t="s">
        <v>136</v>
      </c>
      <c r="C34" s="27"/>
      <c r="D34" s="32">
        <f t="shared" ref="D34:O34" si="11">D15*$A$34</f>
        <v>1083.333</v>
      </c>
      <c r="E34" s="32">
        <f t="shared" si="11"/>
        <v>1083.333</v>
      </c>
      <c r="F34" s="32">
        <f t="shared" si="11"/>
        <v>1083.333</v>
      </c>
      <c r="G34" s="32">
        <f t="shared" si="11"/>
        <v>1083.333</v>
      </c>
      <c r="H34" s="32">
        <f t="shared" si="11"/>
        <v>1083.333</v>
      </c>
      <c r="I34" s="32">
        <f t="shared" si="11"/>
        <v>1083.333</v>
      </c>
      <c r="J34" s="32">
        <f t="shared" si="11"/>
        <v>1083.333</v>
      </c>
      <c r="K34" s="32">
        <f t="shared" si="11"/>
        <v>1083.333</v>
      </c>
      <c r="L34" s="32">
        <f t="shared" si="11"/>
        <v>1083.333</v>
      </c>
      <c r="M34" s="32">
        <f t="shared" si="11"/>
        <v>1083.333</v>
      </c>
      <c r="N34" s="32">
        <f t="shared" si="11"/>
        <v>1083.333</v>
      </c>
      <c r="O34" s="32">
        <f t="shared" si="11"/>
        <v>1083.333</v>
      </c>
      <c r="P34" s="34"/>
      <c r="Q34" s="33">
        <f t="shared" si="12"/>
        <v>12999.996</v>
      </c>
    </row>
    <row r="35">
      <c r="A35" s="3"/>
      <c r="B35" s="31" t="s">
        <v>29</v>
      </c>
      <c r="C35" s="27"/>
      <c r="D35" s="32">
        <v>0.0</v>
      </c>
      <c r="E35" s="32">
        <v>0.0</v>
      </c>
      <c r="F35" s="32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4"/>
      <c r="Q35" s="33">
        <f t="shared" si="12"/>
        <v>0</v>
      </c>
    </row>
    <row r="36">
      <c r="A36" s="7"/>
      <c r="B36" s="16" t="s">
        <v>41</v>
      </c>
      <c r="C36" s="17"/>
      <c r="D36" s="18">
        <f t="shared" ref="D36:O36" si="13">SUM(D33:D35)</f>
        <v>2708.3325</v>
      </c>
      <c r="E36" s="18">
        <f t="shared" si="13"/>
        <v>2708.3325</v>
      </c>
      <c r="F36" s="18">
        <f t="shared" si="13"/>
        <v>2708.3325</v>
      </c>
      <c r="G36" s="18">
        <f t="shared" si="13"/>
        <v>2708.3325</v>
      </c>
      <c r="H36" s="18">
        <f t="shared" si="13"/>
        <v>2708.3325</v>
      </c>
      <c r="I36" s="18">
        <f t="shared" si="13"/>
        <v>2708.3325</v>
      </c>
      <c r="J36" s="18">
        <f t="shared" si="13"/>
        <v>2708.3325</v>
      </c>
      <c r="K36" s="18">
        <f t="shared" si="13"/>
        <v>2708.3325</v>
      </c>
      <c r="L36" s="18">
        <f t="shared" si="13"/>
        <v>2708.3325</v>
      </c>
      <c r="M36" s="18">
        <f t="shared" si="13"/>
        <v>2708.3325</v>
      </c>
      <c r="N36" s="18">
        <f t="shared" si="13"/>
        <v>2708.3325</v>
      </c>
      <c r="O36" s="18">
        <f t="shared" si="13"/>
        <v>2708.3325</v>
      </c>
      <c r="P36" s="19"/>
      <c r="Q36" s="18">
        <f>SUM(Q33:Q35)</f>
        <v>32499.99</v>
      </c>
    </row>
    <row r="37">
      <c r="A37" s="7"/>
      <c r="B37" s="7"/>
      <c r="C37" s="1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19"/>
      <c r="Q37" s="7"/>
    </row>
    <row r="38">
      <c r="A38" s="7"/>
      <c r="B38" s="16" t="s">
        <v>20</v>
      </c>
      <c r="C38" s="17"/>
      <c r="D38" s="18">
        <f t="shared" ref="D38:O38" si="14">D20-D28-D36</f>
        <v>8124.9975</v>
      </c>
      <c r="E38" s="18">
        <f t="shared" si="14"/>
        <v>8124.9975</v>
      </c>
      <c r="F38" s="18">
        <f t="shared" si="14"/>
        <v>8124.9975</v>
      </c>
      <c r="G38" s="18">
        <f t="shared" si="14"/>
        <v>8124.9975</v>
      </c>
      <c r="H38" s="18">
        <f t="shared" si="14"/>
        <v>8124.9975</v>
      </c>
      <c r="I38" s="18">
        <f t="shared" si="14"/>
        <v>8124.9975</v>
      </c>
      <c r="J38" s="18">
        <f t="shared" si="14"/>
        <v>8124.9975</v>
      </c>
      <c r="K38" s="18">
        <f t="shared" si="14"/>
        <v>8124.9975</v>
      </c>
      <c r="L38" s="18">
        <f t="shared" si="14"/>
        <v>8124.9975</v>
      </c>
      <c r="M38" s="18">
        <f t="shared" si="14"/>
        <v>8124.9975</v>
      </c>
      <c r="N38" s="18">
        <f t="shared" si="14"/>
        <v>8124.9975</v>
      </c>
      <c r="O38" s="18">
        <f t="shared" si="14"/>
        <v>11124.9975</v>
      </c>
      <c r="P38" s="19"/>
      <c r="Q38" s="18">
        <f>Q20-Q28-Q36</f>
        <v>100499.97</v>
      </c>
    </row>
    <row r="39">
      <c r="A39" s="7"/>
      <c r="B39" s="12"/>
      <c r="C39" s="19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9"/>
      <c r="Q39" s="13"/>
    </row>
    <row r="40">
      <c r="A40" s="7"/>
      <c r="B40" s="24" t="s">
        <v>42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P40" s="19"/>
      <c r="Q40" s="39"/>
    </row>
    <row r="41">
      <c r="A41" s="7"/>
      <c r="B41" s="40" t="s">
        <v>43</v>
      </c>
      <c r="C41" s="25" t="s">
        <v>6</v>
      </c>
      <c r="D41" s="41" t="s">
        <v>7</v>
      </c>
      <c r="E41" s="41" t="s">
        <v>8</v>
      </c>
      <c r="F41" s="41" t="s">
        <v>9</v>
      </c>
      <c r="G41" s="41" t="s">
        <v>10</v>
      </c>
      <c r="H41" s="41" t="s">
        <v>11</v>
      </c>
      <c r="I41" s="41" t="s">
        <v>12</v>
      </c>
      <c r="J41" s="41" t="s">
        <v>13</v>
      </c>
      <c r="K41" s="41" t="s">
        <v>14</v>
      </c>
      <c r="L41" s="41" t="s">
        <v>15</v>
      </c>
      <c r="M41" s="41" t="s">
        <v>16</v>
      </c>
      <c r="N41" s="41" t="s">
        <v>17</v>
      </c>
      <c r="O41" s="41" t="s">
        <v>18</v>
      </c>
      <c r="P41" s="19"/>
      <c r="Q41" s="25" t="s">
        <v>19</v>
      </c>
    </row>
    <row r="42">
      <c r="A42" s="7"/>
      <c r="B42" s="31" t="s">
        <v>44</v>
      </c>
      <c r="C42" s="27"/>
      <c r="D42" s="28">
        <v>0.0</v>
      </c>
      <c r="E42" s="28">
        <v>0.0</v>
      </c>
      <c r="F42" s="28">
        <v>0.0</v>
      </c>
      <c r="G42" s="29">
        <v>0.0</v>
      </c>
      <c r="H42" s="29">
        <v>0.0</v>
      </c>
      <c r="I42" s="29">
        <v>0.0</v>
      </c>
      <c r="J42" s="29">
        <v>0.0</v>
      </c>
      <c r="K42" s="29">
        <v>0.0</v>
      </c>
      <c r="L42" s="29">
        <v>0.0</v>
      </c>
      <c r="M42" s="29">
        <v>0.0</v>
      </c>
      <c r="N42" s="29">
        <v>0.0</v>
      </c>
      <c r="O42" s="29">
        <v>0.0</v>
      </c>
      <c r="P42" s="42"/>
      <c r="Q42" s="29">
        <f t="shared" ref="Q42:Q50" si="15">SUM(D42:O42)</f>
        <v>0</v>
      </c>
    </row>
    <row r="43">
      <c r="A43" s="43"/>
      <c r="B43" s="31" t="s">
        <v>45</v>
      </c>
      <c r="C43" s="27"/>
      <c r="D43" s="29">
        <v>0.0</v>
      </c>
      <c r="E43" s="29">
        <v>0.0</v>
      </c>
      <c r="F43" s="29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19"/>
      <c r="Q43" s="29">
        <f t="shared" si="15"/>
        <v>0</v>
      </c>
    </row>
    <row r="44">
      <c r="A44" s="7"/>
      <c r="B44" s="31" t="s">
        <v>46</v>
      </c>
      <c r="C44" s="27"/>
      <c r="D44" s="28">
        <v>0.0</v>
      </c>
      <c r="E44" s="28">
        <v>0.0</v>
      </c>
      <c r="F44" s="28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42"/>
      <c r="Q44" s="29">
        <f t="shared" si="15"/>
        <v>0</v>
      </c>
    </row>
    <row r="45">
      <c r="A45" s="7"/>
      <c r="B45" s="31" t="s">
        <v>47</v>
      </c>
      <c r="C45" s="27"/>
      <c r="D45" s="29">
        <v>0.0</v>
      </c>
      <c r="E45" s="29">
        <v>0.0</v>
      </c>
      <c r="F45" s="29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19"/>
      <c r="Q45" s="29">
        <f t="shared" si="15"/>
        <v>0</v>
      </c>
    </row>
    <row r="46">
      <c r="A46" s="7"/>
      <c r="B46" s="31" t="s">
        <v>48</v>
      </c>
      <c r="C46" s="27"/>
      <c r="D46" s="29">
        <v>0.0</v>
      </c>
      <c r="E46" s="29">
        <v>0.0</v>
      </c>
      <c r="F46" s="29">
        <v>0.0</v>
      </c>
      <c r="G46" s="29">
        <v>0.0</v>
      </c>
      <c r="H46" s="29">
        <v>0.0</v>
      </c>
      <c r="I46" s="29">
        <v>0.0</v>
      </c>
      <c r="J46" s="29">
        <v>0.0</v>
      </c>
      <c r="K46" s="29">
        <v>0.0</v>
      </c>
      <c r="L46" s="29">
        <v>0.0</v>
      </c>
      <c r="M46" s="29">
        <v>0.0</v>
      </c>
      <c r="N46" s="29">
        <v>0.0</v>
      </c>
      <c r="O46" s="29">
        <v>0.0</v>
      </c>
      <c r="P46" s="19"/>
      <c r="Q46" s="29">
        <f t="shared" si="15"/>
        <v>0</v>
      </c>
    </row>
    <row r="47">
      <c r="A47" s="7"/>
      <c r="B47" s="31" t="s">
        <v>49</v>
      </c>
      <c r="C47" s="27"/>
      <c r="D47" s="29">
        <v>0.0</v>
      </c>
      <c r="E47" s="29">
        <v>0.0</v>
      </c>
      <c r="F47" s="29">
        <v>0.0</v>
      </c>
      <c r="G47" s="29">
        <v>0.0</v>
      </c>
      <c r="H47" s="29">
        <v>0.0</v>
      </c>
      <c r="I47" s="29">
        <v>0.0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9">
        <v>0.0</v>
      </c>
      <c r="P47" s="42"/>
      <c r="Q47" s="29">
        <f t="shared" si="15"/>
        <v>0</v>
      </c>
    </row>
    <row r="48">
      <c r="A48" s="43"/>
      <c r="B48" s="31" t="s">
        <v>50</v>
      </c>
      <c r="C48" s="27"/>
      <c r="D48" s="29">
        <v>0.0</v>
      </c>
      <c r="E48" s="29">
        <v>0.0</v>
      </c>
      <c r="F48" s="29">
        <v>0.0</v>
      </c>
      <c r="G48" s="29">
        <v>0.0</v>
      </c>
      <c r="H48" s="29">
        <v>0.0</v>
      </c>
      <c r="I48" s="29">
        <v>0.0</v>
      </c>
      <c r="J48" s="29">
        <v>0.0</v>
      </c>
      <c r="K48" s="29">
        <v>0.0</v>
      </c>
      <c r="L48" s="29">
        <v>0.0</v>
      </c>
      <c r="M48" s="29">
        <v>0.0</v>
      </c>
      <c r="N48" s="29">
        <v>0.0</v>
      </c>
      <c r="O48" s="29">
        <v>0.0</v>
      </c>
      <c r="P48" s="19"/>
      <c r="Q48" s="29">
        <f t="shared" si="15"/>
        <v>0</v>
      </c>
    </row>
    <row r="49">
      <c r="A49" s="7"/>
      <c r="B49" s="31" t="s">
        <v>51</v>
      </c>
      <c r="C49" s="27"/>
      <c r="D49" s="29">
        <v>0.0</v>
      </c>
      <c r="E49" s="28">
        <v>0.0</v>
      </c>
      <c r="F49" s="29">
        <v>0.0</v>
      </c>
      <c r="G49" s="29">
        <v>0.0</v>
      </c>
      <c r="H49" s="29">
        <v>0.0</v>
      </c>
      <c r="I49" s="29">
        <v>0.0</v>
      </c>
      <c r="J49" s="29">
        <v>0.0</v>
      </c>
      <c r="K49" s="29">
        <v>0.0</v>
      </c>
      <c r="L49" s="29">
        <v>0.0</v>
      </c>
      <c r="M49" s="29">
        <v>0.0</v>
      </c>
      <c r="N49" s="29">
        <v>0.0</v>
      </c>
      <c r="O49" s="29">
        <v>0.0</v>
      </c>
      <c r="P49" s="42"/>
      <c r="Q49" s="29">
        <f t="shared" si="15"/>
        <v>0</v>
      </c>
    </row>
    <row r="50">
      <c r="A50" s="7"/>
      <c r="B50" s="31" t="s">
        <v>29</v>
      </c>
      <c r="C50" s="27"/>
      <c r="D50" s="29">
        <v>0.0</v>
      </c>
      <c r="E50" s="29">
        <v>0.0</v>
      </c>
      <c r="F50" s="29">
        <v>0.0</v>
      </c>
      <c r="G50" s="29">
        <v>0.0</v>
      </c>
      <c r="H50" s="29">
        <v>0.0</v>
      </c>
      <c r="I50" s="29">
        <v>0.0</v>
      </c>
      <c r="J50" s="29">
        <v>0.0</v>
      </c>
      <c r="K50" s="29">
        <v>0.0</v>
      </c>
      <c r="L50" s="29">
        <v>0.0</v>
      </c>
      <c r="M50" s="29">
        <v>0.0</v>
      </c>
      <c r="N50" s="29">
        <v>0.0</v>
      </c>
      <c r="O50" s="29">
        <v>0.0</v>
      </c>
      <c r="P50" s="19"/>
      <c r="Q50" s="29">
        <f t="shared" si="15"/>
        <v>0</v>
      </c>
    </row>
    <row r="51">
      <c r="A51" s="7"/>
      <c r="B51" s="16" t="s">
        <v>52</v>
      </c>
      <c r="C51" s="17"/>
      <c r="D51" s="18">
        <f t="shared" ref="D51:O51" si="16">SUM(D42:D50)</f>
        <v>0</v>
      </c>
      <c r="E51" s="18">
        <f t="shared" si="16"/>
        <v>0</v>
      </c>
      <c r="F51" s="18">
        <f t="shared" si="16"/>
        <v>0</v>
      </c>
      <c r="G51" s="18">
        <f t="shared" si="16"/>
        <v>0</v>
      </c>
      <c r="H51" s="18">
        <f t="shared" si="16"/>
        <v>0</v>
      </c>
      <c r="I51" s="18">
        <f t="shared" si="16"/>
        <v>0</v>
      </c>
      <c r="J51" s="18">
        <f t="shared" si="16"/>
        <v>0</v>
      </c>
      <c r="K51" s="18">
        <f t="shared" si="16"/>
        <v>0</v>
      </c>
      <c r="L51" s="18">
        <f t="shared" si="16"/>
        <v>0</v>
      </c>
      <c r="M51" s="18">
        <f t="shared" si="16"/>
        <v>0</v>
      </c>
      <c r="N51" s="18">
        <f t="shared" si="16"/>
        <v>0</v>
      </c>
      <c r="O51" s="18">
        <f t="shared" si="16"/>
        <v>0</v>
      </c>
      <c r="P51" s="42"/>
      <c r="Q51" s="18">
        <f>SUM(Q42:Q50)</f>
        <v>0</v>
      </c>
    </row>
    <row r="52">
      <c r="A52" s="7"/>
      <c r="B52" s="44"/>
      <c r="C52" s="7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7"/>
      <c r="Q52" s="44"/>
    </row>
    <row r="53">
      <c r="A53" s="7"/>
      <c r="B53" s="45" t="s">
        <v>53</v>
      </c>
      <c r="C53" s="25" t="s">
        <v>6</v>
      </c>
      <c r="D53" s="25" t="s">
        <v>7</v>
      </c>
      <c r="E53" s="25" t="s">
        <v>8</v>
      </c>
      <c r="F53" s="25" t="s">
        <v>9</v>
      </c>
      <c r="G53" s="25" t="s">
        <v>10</v>
      </c>
      <c r="H53" s="25" t="s">
        <v>11</v>
      </c>
      <c r="I53" s="25" t="s">
        <v>12</v>
      </c>
      <c r="J53" s="25" t="s">
        <v>13</v>
      </c>
      <c r="K53" s="25" t="s">
        <v>14</v>
      </c>
      <c r="L53" s="25" t="s">
        <v>15</v>
      </c>
      <c r="M53" s="25" t="s">
        <v>16</v>
      </c>
      <c r="N53" s="25" t="s">
        <v>17</v>
      </c>
      <c r="O53" s="25" t="s">
        <v>18</v>
      </c>
      <c r="P53" s="7"/>
      <c r="Q53" s="25" t="s">
        <v>19</v>
      </c>
    </row>
    <row r="54">
      <c r="A54" s="7"/>
      <c r="B54" s="31" t="s">
        <v>54</v>
      </c>
      <c r="C54" s="27"/>
      <c r="D54" s="29">
        <v>0.0</v>
      </c>
      <c r="E54" s="28">
        <v>0.0</v>
      </c>
      <c r="F54" s="29">
        <v>0.0</v>
      </c>
      <c r="G54" s="29">
        <v>0.0</v>
      </c>
      <c r="H54" s="29">
        <v>0.0</v>
      </c>
      <c r="I54" s="29">
        <v>0.0</v>
      </c>
      <c r="J54" s="29">
        <v>0.0</v>
      </c>
      <c r="K54" s="29">
        <v>0.0</v>
      </c>
      <c r="L54" s="29">
        <v>0.0</v>
      </c>
      <c r="M54" s="29">
        <v>0.0</v>
      </c>
      <c r="N54" s="29">
        <v>0.0</v>
      </c>
      <c r="O54" s="29">
        <v>0.0</v>
      </c>
      <c r="P54" s="7"/>
      <c r="Q54" s="29">
        <f t="shared" ref="Q54:Q58" si="17">SUM(D54:O54)</f>
        <v>0</v>
      </c>
    </row>
    <row r="55">
      <c r="A55" s="7"/>
      <c r="B55" s="31" t="s">
        <v>55</v>
      </c>
      <c r="C55" s="27"/>
      <c r="D55" s="29">
        <v>0.0</v>
      </c>
      <c r="E55" s="29">
        <v>0.0</v>
      </c>
      <c r="F55" s="29">
        <v>0.0</v>
      </c>
      <c r="G55" s="29">
        <v>0.0</v>
      </c>
      <c r="H55" s="29">
        <v>0.0</v>
      </c>
      <c r="I55" s="29">
        <v>0.0</v>
      </c>
      <c r="J55" s="29">
        <v>0.0</v>
      </c>
      <c r="K55" s="29">
        <v>0.0</v>
      </c>
      <c r="L55" s="29">
        <v>0.0</v>
      </c>
      <c r="M55" s="29">
        <v>0.0</v>
      </c>
      <c r="N55" s="29">
        <v>0.0</v>
      </c>
      <c r="O55" s="29">
        <v>0.0</v>
      </c>
      <c r="P55" s="7"/>
      <c r="Q55" s="29">
        <f t="shared" si="17"/>
        <v>0</v>
      </c>
    </row>
    <row r="56">
      <c r="A56" s="7"/>
      <c r="B56" s="31" t="s">
        <v>56</v>
      </c>
      <c r="C56" s="27"/>
      <c r="D56" s="29">
        <v>0.0</v>
      </c>
      <c r="E56" s="29">
        <v>0.0</v>
      </c>
      <c r="F56" s="29">
        <v>0.0</v>
      </c>
      <c r="G56" s="29">
        <v>0.0</v>
      </c>
      <c r="H56" s="29">
        <v>0.0</v>
      </c>
      <c r="I56" s="29">
        <v>0.0</v>
      </c>
      <c r="J56" s="29">
        <v>0.0</v>
      </c>
      <c r="K56" s="29">
        <v>0.0</v>
      </c>
      <c r="L56" s="29">
        <v>0.0</v>
      </c>
      <c r="M56" s="29">
        <v>0.0</v>
      </c>
      <c r="N56" s="29">
        <v>0.0</v>
      </c>
      <c r="O56" s="29">
        <v>0.0</v>
      </c>
      <c r="P56" s="7"/>
      <c r="Q56" s="29">
        <f t="shared" si="17"/>
        <v>0</v>
      </c>
    </row>
    <row r="57">
      <c r="A57" s="7"/>
      <c r="B57" s="31" t="s">
        <v>29</v>
      </c>
      <c r="C57" s="27"/>
      <c r="D57" s="29">
        <v>0.0</v>
      </c>
      <c r="E57" s="29">
        <v>0.0</v>
      </c>
      <c r="F57" s="29">
        <v>0.0</v>
      </c>
      <c r="G57" s="29">
        <v>0.0</v>
      </c>
      <c r="H57" s="29">
        <v>0.0</v>
      </c>
      <c r="I57" s="29">
        <v>0.0</v>
      </c>
      <c r="J57" s="29">
        <v>0.0</v>
      </c>
      <c r="K57" s="29">
        <v>0.0</v>
      </c>
      <c r="L57" s="29">
        <v>0.0</v>
      </c>
      <c r="M57" s="29">
        <v>0.0</v>
      </c>
      <c r="N57" s="29">
        <v>0.0</v>
      </c>
      <c r="O57" s="29">
        <v>0.0</v>
      </c>
      <c r="P57" s="7"/>
      <c r="Q57" s="29">
        <f t="shared" si="17"/>
        <v>0</v>
      </c>
    </row>
    <row r="58">
      <c r="A58" s="7"/>
      <c r="B58" s="31" t="s">
        <v>29</v>
      </c>
      <c r="C58" s="27"/>
      <c r="D58" s="29">
        <v>0.0</v>
      </c>
      <c r="E58" s="29">
        <v>0.0</v>
      </c>
      <c r="F58" s="29">
        <v>0.0</v>
      </c>
      <c r="G58" s="29">
        <v>0.0</v>
      </c>
      <c r="H58" s="29">
        <v>0.0</v>
      </c>
      <c r="I58" s="29">
        <v>0.0</v>
      </c>
      <c r="J58" s="29">
        <v>0.0</v>
      </c>
      <c r="K58" s="29">
        <v>0.0</v>
      </c>
      <c r="L58" s="29">
        <v>0.0</v>
      </c>
      <c r="M58" s="29">
        <v>0.0</v>
      </c>
      <c r="N58" s="29">
        <v>0.0</v>
      </c>
      <c r="O58" s="29">
        <v>0.0</v>
      </c>
      <c r="P58" s="7"/>
      <c r="Q58" s="29">
        <f t="shared" si="17"/>
        <v>0</v>
      </c>
    </row>
    <row r="59">
      <c r="A59" s="7"/>
      <c r="B59" s="16" t="s">
        <v>57</v>
      </c>
      <c r="C59" s="17"/>
      <c r="D59" s="18">
        <f t="shared" ref="D59:O59" si="18">SUM(D54:D58)</f>
        <v>0</v>
      </c>
      <c r="E59" s="18">
        <f t="shared" si="18"/>
        <v>0</v>
      </c>
      <c r="F59" s="18">
        <f t="shared" si="18"/>
        <v>0</v>
      </c>
      <c r="G59" s="18">
        <f t="shared" si="18"/>
        <v>0</v>
      </c>
      <c r="H59" s="18">
        <f t="shared" si="18"/>
        <v>0</v>
      </c>
      <c r="I59" s="18">
        <f t="shared" si="18"/>
        <v>0</v>
      </c>
      <c r="J59" s="18">
        <f t="shared" si="18"/>
        <v>0</v>
      </c>
      <c r="K59" s="18">
        <f t="shared" si="18"/>
        <v>0</v>
      </c>
      <c r="L59" s="18">
        <f t="shared" si="18"/>
        <v>0</v>
      </c>
      <c r="M59" s="18">
        <f t="shared" si="18"/>
        <v>0</v>
      </c>
      <c r="N59" s="18">
        <f t="shared" si="18"/>
        <v>0</v>
      </c>
      <c r="O59" s="18">
        <f t="shared" si="18"/>
        <v>0</v>
      </c>
      <c r="P59" s="7"/>
      <c r="Q59" s="18">
        <f>SUM(Q54:Q58)</f>
        <v>0</v>
      </c>
    </row>
    <row r="60">
      <c r="A60" s="7"/>
      <c r="B60" s="44"/>
      <c r="C60" s="7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7"/>
      <c r="Q60" s="44"/>
    </row>
    <row r="61">
      <c r="A61" s="7"/>
      <c r="B61" s="45" t="s">
        <v>58</v>
      </c>
      <c r="C61" s="25" t="s">
        <v>6</v>
      </c>
      <c r="D61" s="25" t="s">
        <v>7</v>
      </c>
      <c r="E61" s="25" t="s">
        <v>8</v>
      </c>
      <c r="F61" s="25" t="s">
        <v>9</v>
      </c>
      <c r="G61" s="25" t="s">
        <v>10</v>
      </c>
      <c r="H61" s="25" t="s">
        <v>11</v>
      </c>
      <c r="I61" s="25" t="s">
        <v>12</v>
      </c>
      <c r="J61" s="25" t="s">
        <v>13</v>
      </c>
      <c r="K61" s="25" t="s">
        <v>14</v>
      </c>
      <c r="L61" s="25" t="s">
        <v>15</v>
      </c>
      <c r="M61" s="25" t="s">
        <v>16</v>
      </c>
      <c r="N61" s="25" t="s">
        <v>17</v>
      </c>
      <c r="O61" s="25" t="s">
        <v>18</v>
      </c>
      <c r="P61" s="7"/>
      <c r="Q61" s="25" t="s">
        <v>19</v>
      </c>
    </row>
    <row r="62">
      <c r="A62" s="7"/>
      <c r="B62" s="26" t="s">
        <v>137</v>
      </c>
      <c r="C62" s="27"/>
      <c r="D62" s="28">
        <v>1345.0</v>
      </c>
      <c r="E62" s="28">
        <v>1345.0</v>
      </c>
      <c r="F62" s="28">
        <v>1345.0</v>
      </c>
      <c r="G62" s="28">
        <v>1345.0</v>
      </c>
      <c r="H62" s="28">
        <v>1345.0</v>
      </c>
      <c r="I62" s="28">
        <v>1345.0</v>
      </c>
      <c r="J62" s="28">
        <v>1345.0</v>
      </c>
      <c r="K62" s="28">
        <v>1345.0</v>
      </c>
      <c r="L62" s="28">
        <v>1345.0</v>
      </c>
      <c r="M62" s="28">
        <v>1345.0</v>
      </c>
      <c r="N62" s="28">
        <v>1345.0</v>
      </c>
      <c r="O62" s="28">
        <v>1345.0</v>
      </c>
      <c r="P62" s="7"/>
      <c r="Q62" s="29">
        <f t="shared" ref="Q62:Q66" si="19">SUM(D62:O62)</f>
        <v>16140</v>
      </c>
    </row>
    <row r="63">
      <c r="A63" s="7"/>
      <c r="B63" s="26" t="s">
        <v>60</v>
      </c>
      <c r="C63" s="27"/>
      <c r="D63" s="28">
        <v>435.0</v>
      </c>
      <c r="E63" s="28">
        <v>435.0</v>
      </c>
      <c r="F63" s="28">
        <v>435.0</v>
      </c>
      <c r="G63" s="28">
        <v>435.0</v>
      </c>
      <c r="H63" s="28">
        <v>435.0</v>
      </c>
      <c r="I63" s="28">
        <v>435.0</v>
      </c>
      <c r="J63" s="28">
        <v>435.0</v>
      </c>
      <c r="K63" s="28">
        <v>435.0</v>
      </c>
      <c r="L63" s="28">
        <v>435.0</v>
      </c>
      <c r="M63" s="28">
        <v>435.0</v>
      </c>
      <c r="N63" s="28">
        <v>435.0</v>
      </c>
      <c r="O63" s="28">
        <v>435.0</v>
      </c>
      <c r="P63" s="7"/>
      <c r="Q63" s="29">
        <f t="shared" si="19"/>
        <v>5220</v>
      </c>
    </row>
    <row r="64">
      <c r="A64" s="7"/>
      <c r="B64" s="26" t="s">
        <v>138</v>
      </c>
      <c r="C64" s="27"/>
      <c r="D64" s="28">
        <v>400.0</v>
      </c>
      <c r="E64" s="28">
        <v>400.0</v>
      </c>
      <c r="F64" s="28">
        <v>400.0</v>
      </c>
      <c r="G64" s="28">
        <v>400.0</v>
      </c>
      <c r="H64" s="28">
        <v>400.0</v>
      </c>
      <c r="I64" s="28">
        <v>400.0</v>
      </c>
      <c r="J64" s="28">
        <v>400.0</v>
      </c>
      <c r="K64" s="28">
        <v>400.0</v>
      </c>
      <c r="L64" s="28">
        <v>400.0</v>
      </c>
      <c r="M64" s="28">
        <v>400.0</v>
      </c>
      <c r="N64" s="28">
        <v>400.0</v>
      </c>
      <c r="O64" s="28">
        <v>400.0</v>
      </c>
      <c r="P64" s="7"/>
      <c r="Q64" s="29">
        <f t="shared" si="19"/>
        <v>4800</v>
      </c>
    </row>
    <row r="65">
      <c r="A65" s="7"/>
      <c r="B65" s="26" t="s">
        <v>139</v>
      </c>
      <c r="C65" s="27"/>
      <c r="D65" s="28">
        <v>200.0</v>
      </c>
      <c r="E65" s="28">
        <v>200.0</v>
      </c>
      <c r="F65" s="28">
        <v>200.0</v>
      </c>
      <c r="G65" s="28">
        <v>200.0</v>
      </c>
      <c r="H65" s="28">
        <v>200.0</v>
      </c>
      <c r="I65" s="28">
        <v>200.0</v>
      </c>
      <c r="J65" s="28">
        <v>200.0</v>
      </c>
      <c r="K65" s="28">
        <v>200.0</v>
      </c>
      <c r="L65" s="28">
        <v>200.0</v>
      </c>
      <c r="M65" s="28">
        <v>200.0</v>
      </c>
      <c r="N65" s="28">
        <v>200.0</v>
      </c>
      <c r="O65" s="28">
        <v>200.0</v>
      </c>
      <c r="P65" s="7"/>
      <c r="Q65" s="29">
        <f t="shared" si="19"/>
        <v>2400</v>
      </c>
    </row>
    <row r="66">
      <c r="A66" s="7"/>
      <c r="B66" s="31" t="s">
        <v>29</v>
      </c>
      <c r="C66" s="27"/>
      <c r="D66" s="29">
        <v>0.0</v>
      </c>
      <c r="E66" s="29">
        <v>0.0</v>
      </c>
      <c r="F66" s="29">
        <v>0.0</v>
      </c>
      <c r="G66" s="29">
        <v>0.0</v>
      </c>
      <c r="H66" s="29">
        <v>0.0</v>
      </c>
      <c r="I66" s="29">
        <v>0.0</v>
      </c>
      <c r="J66" s="29">
        <v>0.0</v>
      </c>
      <c r="K66" s="29">
        <v>0.0</v>
      </c>
      <c r="L66" s="29">
        <v>0.0</v>
      </c>
      <c r="M66" s="29">
        <v>0.0</v>
      </c>
      <c r="N66" s="29">
        <v>0.0</v>
      </c>
      <c r="O66" s="29">
        <v>0.0</v>
      </c>
      <c r="P66" s="7"/>
      <c r="Q66" s="29">
        <f t="shared" si="19"/>
        <v>0</v>
      </c>
    </row>
    <row r="67">
      <c r="A67" s="7"/>
      <c r="B67" s="16" t="s">
        <v>63</v>
      </c>
      <c r="C67" s="17"/>
      <c r="D67" s="18">
        <f t="shared" ref="D67:O67" si="20">SUM(D62:D66)</f>
        <v>2380</v>
      </c>
      <c r="E67" s="18">
        <f t="shared" si="20"/>
        <v>2380</v>
      </c>
      <c r="F67" s="18">
        <f t="shared" si="20"/>
        <v>2380</v>
      </c>
      <c r="G67" s="18">
        <f t="shared" si="20"/>
        <v>2380</v>
      </c>
      <c r="H67" s="18">
        <f t="shared" si="20"/>
        <v>2380</v>
      </c>
      <c r="I67" s="18">
        <f t="shared" si="20"/>
        <v>2380</v>
      </c>
      <c r="J67" s="18">
        <f t="shared" si="20"/>
        <v>2380</v>
      </c>
      <c r="K67" s="18">
        <f t="shared" si="20"/>
        <v>2380</v>
      </c>
      <c r="L67" s="18">
        <f t="shared" si="20"/>
        <v>2380</v>
      </c>
      <c r="M67" s="18">
        <f t="shared" si="20"/>
        <v>2380</v>
      </c>
      <c r="N67" s="18">
        <f t="shared" si="20"/>
        <v>2380</v>
      </c>
      <c r="O67" s="18">
        <f t="shared" si="20"/>
        <v>2380</v>
      </c>
      <c r="P67" s="7"/>
      <c r="Q67" s="18">
        <f>SUM(Q62:Q66)</f>
        <v>28560</v>
      </c>
    </row>
    <row r="68">
      <c r="A68" s="7"/>
      <c r="B68" s="47"/>
      <c r="C68" s="48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7"/>
      <c r="Q68" s="44"/>
    </row>
    <row r="69">
      <c r="A69" s="7"/>
      <c r="B69" s="45" t="s">
        <v>64</v>
      </c>
      <c r="C69" s="25" t="s">
        <v>6</v>
      </c>
      <c r="D69" s="25" t="s">
        <v>7</v>
      </c>
      <c r="E69" s="25" t="s">
        <v>8</v>
      </c>
      <c r="F69" s="25" t="s">
        <v>9</v>
      </c>
      <c r="G69" s="25" t="s">
        <v>10</v>
      </c>
      <c r="H69" s="25" t="s">
        <v>11</v>
      </c>
      <c r="I69" s="25" t="s">
        <v>12</v>
      </c>
      <c r="J69" s="25" t="s">
        <v>13</v>
      </c>
      <c r="K69" s="25" t="s">
        <v>14</v>
      </c>
      <c r="L69" s="25" t="s">
        <v>15</v>
      </c>
      <c r="M69" s="25" t="s">
        <v>16</v>
      </c>
      <c r="N69" s="25" t="s">
        <v>17</v>
      </c>
      <c r="O69" s="25" t="s">
        <v>18</v>
      </c>
      <c r="P69" s="7"/>
      <c r="Q69" s="25" t="s">
        <v>19</v>
      </c>
    </row>
    <row r="70">
      <c r="A70" s="7"/>
      <c r="B70" s="31" t="s">
        <v>65</v>
      </c>
      <c r="C70" s="27"/>
      <c r="D70" s="28">
        <v>750.0</v>
      </c>
      <c r="E70" s="28">
        <v>750.0</v>
      </c>
      <c r="F70" s="28">
        <v>750.0</v>
      </c>
      <c r="G70" s="28">
        <v>750.0</v>
      </c>
      <c r="H70" s="28">
        <v>750.0</v>
      </c>
      <c r="I70" s="28">
        <v>750.0</v>
      </c>
      <c r="J70" s="28">
        <v>750.0</v>
      </c>
      <c r="K70" s="28">
        <v>750.0</v>
      </c>
      <c r="L70" s="28">
        <v>750.0</v>
      </c>
      <c r="M70" s="28">
        <v>750.0</v>
      </c>
      <c r="N70" s="28">
        <v>750.0</v>
      </c>
      <c r="O70" s="28">
        <v>750.0</v>
      </c>
      <c r="P70" s="7"/>
      <c r="Q70" s="29">
        <f t="shared" ref="Q70:Q79" si="21">SUM(D70:O70)</f>
        <v>9000</v>
      </c>
    </row>
    <row r="71">
      <c r="A71" s="7"/>
      <c r="B71" s="26" t="s">
        <v>66</v>
      </c>
      <c r="C71" s="27"/>
      <c r="D71" s="28">
        <v>20.0</v>
      </c>
      <c r="E71" s="28">
        <v>20.0</v>
      </c>
      <c r="F71" s="28">
        <v>20.0</v>
      </c>
      <c r="G71" s="28">
        <v>20.0</v>
      </c>
      <c r="H71" s="28">
        <v>20.0</v>
      </c>
      <c r="I71" s="28">
        <v>20.0</v>
      </c>
      <c r="J71" s="28">
        <v>20.0</v>
      </c>
      <c r="K71" s="28">
        <v>20.0</v>
      </c>
      <c r="L71" s="28">
        <v>20.0</v>
      </c>
      <c r="M71" s="28">
        <v>20.0</v>
      </c>
      <c r="N71" s="28">
        <v>20.0</v>
      </c>
      <c r="O71" s="28">
        <v>20.0</v>
      </c>
      <c r="P71" s="7"/>
      <c r="Q71" s="29">
        <f t="shared" si="21"/>
        <v>240</v>
      </c>
    </row>
    <row r="72">
      <c r="A72" s="7"/>
      <c r="B72" s="26" t="s">
        <v>67</v>
      </c>
      <c r="C72" s="27"/>
      <c r="D72" s="28">
        <v>12.5</v>
      </c>
      <c r="E72" s="28">
        <v>12.5</v>
      </c>
      <c r="F72" s="28">
        <v>12.5</v>
      </c>
      <c r="G72" s="28">
        <v>12.5</v>
      </c>
      <c r="H72" s="28">
        <v>12.5</v>
      </c>
      <c r="I72" s="28">
        <v>12.5</v>
      </c>
      <c r="J72" s="28">
        <v>12.5</v>
      </c>
      <c r="K72" s="28">
        <v>12.5</v>
      </c>
      <c r="L72" s="28">
        <v>12.5</v>
      </c>
      <c r="M72" s="28">
        <v>12.5</v>
      </c>
      <c r="N72" s="28">
        <v>12.5</v>
      </c>
      <c r="O72" s="28">
        <v>12.5</v>
      </c>
      <c r="P72" s="7"/>
      <c r="Q72" s="29">
        <f t="shared" si="21"/>
        <v>150</v>
      </c>
    </row>
    <row r="73">
      <c r="A73" s="7"/>
      <c r="B73" s="31" t="s">
        <v>68</v>
      </c>
      <c r="C73" s="27"/>
      <c r="D73" s="28">
        <v>100.0</v>
      </c>
      <c r="E73" s="28">
        <v>100.0</v>
      </c>
      <c r="F73" s="28">
        <v>100.0</v>
      </c>
      <c r="G73" s="28">
        <v>100.0</v>
      </c>
      <c r="H73" s="28">
        <v>100.0</v>
      </c>
      <c r="I73" s="28">
        <v>100.0</v>
      </c>
      <c r="J73" s="28">
        <v>100.0</v>
      </c>
      <c r="K73" s="28">
        <v>100.0</v>
      </c>
      <c r="L73" s="28">
        <v>100.0</v>
      </c>
      <c r="M73" s="28">
        <v>100.0</v>
      </c>
      <c r="N73" s="28">
        <v>100.0</v>
      </c>
      <c r="O73" s="28">
        <v>100.0</v>
      </c>
      <c r="P73" s="7"/>
      <c r="Q73" s="29">
        <f t="shared" si="21"/>
        <v>1200</v>
      </c>
    </row>
    <row r="74">
      <c r="A74" s="7"/>
      <c r="B74" s="31" t="s">
        <v>69</v>
      </c>
      <c r="C74" s="27"/>
      <c r="D74" s="28">
        <v>80.0</v>
      </c>
      <c r="E74" s="28">
        <v>80.0</v>
      </c>
      <c r="F74" s="28">
        <v>80.0</v>
      </c>
      <c r="G74" s="28">
        <v>80.0</v>
      </c>
      <c r="H74" s="28">
        <v>80.0</v>
      </c>
      <c r="I74" s="28">
        <v>80.0</v>
      </c>
      <c r="J74" s="28">
        <v>80.0</v>
      </c>
      <c r="K74" s="28">
        <v>80.0</v>
      </c>
      <c r="L74" s="28">
        <v>80.0</v>
      </c>
      <c r="M74" s="28">
        <v>80.0</v>
      </c>
      <c r="N74" s="28">
        <v>80.0</v>
      </c>
      <c r="O74" s="28">
        <v>80.0</v>
      </c>
      <c r="P74" s="7"/>
      <c r="Q74" s="29">
        <f t="shared" si="21"/>
        <v>960</v>
      </c>
    </row>
    <row r="75">
      <c r="A75" s="7"/>
      <c r="B75" s="31" t="s">
        <v>70</v>
      </c>
      <c r="C75" s="27"/>
      <c r="D75" s="28">
        <v>50.0</v>
      </c>
      <c r="E75" s="28">
        <v>50.0</v>
      </c>
      <c r="F75" s="28">
        <v>50.0</v>
      </c>
      <c r="G75" s="28">
        <v>50.0</v>
      </c>
      <c r="H75" s="28">
        <v>50.0</v>
      </c>
      <c r="I75" s="28">
        <v>50.0</v>
      </c>
      <c r="J75" s="28">
        <v>50.0</v>
      </c>
      <c r="K75" s="28">
        <v>50.0</v>
      </c>
      <c r="L75" s="28">
        <v>50.0</v>
      </c>
      <c r="M75" s="28">
        <v>50.0</v>
      </c>
      <c r="N75" s="28">
        <v>50.0</v>
      </c>
      <c r="O75" s="28">
        <v>50.0</v>
      </c>
      <c r="P75" s="7"/>
      <c r="Q75" s="29">
        <f t="shared" si="21"/>
        <v>600</v>
      </c>
    </row>
    <row r="76">
      <c r="A76" s="7"/>
      <c r="B76" s="31" t="s">
        <v>71</v>
      </c>
      <c r="C76" s="27"/>
      <c r="D76" s="28">
        <v>20.0</v>
      </c>
      <c r="E76" s="28">
        <v>20.0</v>
      </c>
      <c r="F76" s="28">
        <v>20.0</v>
      </c>
      <c r="G76" s="28">
        <v>20.0</v>
      </c>
      <c r="H76" s="28">
        <v>20.0</v>
      </c>
      <c r="I76" s="28">
        <v>20.0</v>
      </c>
      <c r="J76" s="28">
        <v>20.0</v>
      </c>
      <c r="K76" s="28">
        <v>20.0</v>
      </c>
      <c r="L76" s="28">
        <v>20.0</v>
      </c>
      <c r="M76" s="28">
        <v>20.0</v>
      </c>
      <c r="N76" s="28">
        <v>20.0</v>
      </c>
      <c r="O76" s="28">
        <v>20.0</v>
      </c>
      <c r="P76" s="7"/>
      <c r="Q76" s="29">
        <f t="shared" si="21"/>
        <v>240</v>
      </c>
    </row>
    <row r="77">
      <c r="A77" s="7"/>
      <c r="B77" s="31" t="s">
        <v>72</v>
      </c>
      <c r="C77" s="27"/>
      <c r="D77" s="29">
        <v>0.0</v>
      </c>
      <c r="E77" s="29">
        <v>0.0</v>
      </c>
      <c r="F77" s="29">
        <v>0.0</v>
      </c>
      <c r="G77" s="29">
        <v>0.0</v>
      </c>
      <c r="H77" s="29">
        <v>0.0</v>
      </c>
      <c r="I77" s="29">
        <v>0.0</v>
      </c>
      <c r="J77" s="29">
        <v>0.0</v>
      </c>
      <c r="K77" s="29">
        <v>0.0</v>
      </c>
      <c r="L77" s="29">
        <v>0.0</v>
      </c>
      <c r="M77" s="29">
        <v>0.0</v>
      </c>
      <c r="N77" s="29">
        <v>0.0</v>
      </c>
      <c r="O77" s="29">
        <v>0.0</v>
      </c>
      <c r="P77" s="7"/>
      <c r="Q77" s="29">
        <f t="shared" si="21"/>
        <v>0</v>
      </c>
    </row>
    <row r="78">
      <c r="A78" s="7"/>
      <c r="B78" s="31" t="s">
        <v>140</v>
      </c>
      <c r="C78" s="27"/>
      <c r="D78" s="28">
        <v>500.0</v>
      </c>
      <c r="E78" s="28">
        <v>500.0</v>
      </c>
      <c r="F78" s="28">
        <v>500.0</v>
      </c>
      <c r="G78" s="28">
        <v>500.0</v>
      </c>
      <c r="H78" s="28">
        <v>500.0</v>
      </c>
      <c r="I78" s="28">
        <v>500.0</v>
      </c>
      <c r="J78" s="28">
        <v>500.0</v>
      </c>
      <c r="K78" s="28">
        <v>500.0</v>
      </c>
      <c r="L78" s="28">
        <v>500.0</v>
      </c>
      <c r="M78" s="28">
        <v>500.0</v>
      </c>
      <c r="N78" s="28">
        <v>500.0</v>
      </c>
      <c r="O78" s="28">
        <v>500.0</v>
      </c>
      <c r="P78" s="7"/>
      <c r="Q78" s="29">
        <f t="shared" si="21"/>
        <v>6000</v>
      </c>
    </row>
    <row r="79">
      <c r="A79" s="7"/>
      <c r="B79" s="31" t="s">
        <v>29</v>
      </c>
      <c r="C79" s="27"/>
      <c r="D79" s="29">
        <v>0.0</v>
      </c>
      <c r="E79" s="29">
        <v>0.0</v>
      </c>
      <c r="F79" s="29">
        <v>0.0</v>
      </c>
      <c r="G79" s="29">
        <v>0.0</v>
      </c>
      <c r="H79" s="29">
        <v>0.0</v>
      </c>
      <c r="I79" s="29">
        <v>0.0</v>
      </c>
      <c r="J79" s="29">
        <v>0.0</v>
      </c>
      <c r="K79" s="29">
        <v>0.0</v>
      </c>
      <c r="L79" s="29">
        <v>0.0</v>
      </c>
      <c r="M79" s="29">
        <v>0.0</v>
      </c>
      <c r="N79" s="29">
        <v>0.0</v>
      </c>
      <c r="O79" s="29">
        <v>0.0</v>
      </c>
      <c r="P79" s="7"/>
      <c r="Q79" s="29">
        <f t="shared" si="21"/>
        <v>0</v>
      </c>
    </row>
    <row r="80">
      <c r="A80" s="7"/>
      <c r="B80" s="16" t="s">
        <v>75</v>
      </c>
      <c r="C80" s="17"/>
      <c r="D80" s="18">
        <f t="shared" ref="D80:O80" si="22">SUM(D70:D79)</f>
        <v>1532.5</v>
      </c>
      <c r="E80" s="18">
        <f t="shared" si="22"/>
        <v>1532.5</v>
      </c>
      <c r="F80" s="18">
        <f t="shared" si="22"/>
        <v>1532.5</v>
      </c>
      <c r="G80" s="18">
        <f t="shared" si="22"/>
        <v>1532.5</v>
      </c>
      <c r="H80" s="18">
        <f t="shared" si="22"/>
        <v>1532.5</v>
      </c>
      <c r="I80" s="18">
        <f t="shared" si="22"/>
        <v>1532.5</v>
      </c>
      <c r="J80" s="18">
        <f t="shared" si="22"/>
        <v>1532.5</v>
      </c>
      <c r="K80" s="18">
        <f t="shared" si="22"/>
        <v>1532.5</v>
      </c>
      <c r="L80" s="18">
        <f t="shared" si="22"/>
        <v>1532.5</v>
      </c>
      <c r="M80" s="18">
        <f t="shared" si="22"/>
        <v>1532.5</v>
      </c>
      <c r="N80" s="18">
        <f t="shared" si="22"/>
        <v>1532.5</v>
      </c>
      <c r="O80" s="18">
        <f t="shared" si="22"/>
        <v>1532.5</v>
      </c>
      <c r="P80" s="7"/>
      <c r="Q80" s="18">
        <f>SUM(Q70:Q79)</f>
        <v>18390</v>
      </c>
    </row>
    <row r="81">
      <c r="A81" s="7"/>
      <c r="B81" s="44"/>
      <c r="C81" s="7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7"/>
      <c r="Q81" s="44"/>
    </row>
    <row r="82">
      <c r="A82" s="7"/>
      <c r="B82" s="45" t="s">
        <v>76</v>
      </c>
      <c r="C82" s="25" t="s">
        <v>6</v>
      </c>
      <c r="D82" s="25" t="s">
        <v>7</v>
      </c>
      <c r="E82" s="25" t="s">
        <v>8</v>
      </c>
      <c r="F82" s="25" t="s">
        <v>9</v>
      </c>
      <c r="G82" s="25" t="s">
        <v>10</v>
      </c>
      <c r="H82" s="25" t="s">
        <v>11</v>
      </c>
      <c r="I82" s="25" t="s">
        <v>12</v>
      </c>
      <c r="J82" s="25" t="s">
        <v>13</v>
      </c>
      <c r="K82" s="25" t="s">
        <v>14</v>
      </c>
      <c r="L82" s="25" t="s">
        <v>15</v>
      </c>
      <c r="M82" s="25" t="s">
        <v>16</v>
      </c>
      <c r="N82" s="25" t="s">
        <v>17</v>
      </c>
      <c r="O82" s="25" t="s">
        <v>18</v>
      </c>
      <c r="P82" s="7"/>
      <c r="Q82" s="25" t="s">
        <v>19</v>
      </c>
    </row>
    <row r="83">
      <c r="A83" s="7"/>
      <c r="B83" s="31" t="s">
        <v>77</v>
      </c>
      <c r="C83" s="27"/>
      <c r="D83" s="28">
        <v>50.0</v>
      </c>
      <c r="E83" s="28">
        <v>50.0</v>
      </c>
      <c r="F83" s="28">
        <v>50.0</v>
      </c>
      <c r="G83" s="28">
        <v>50.0</v>
      </c>
      <c r="H83" s="28">
        <v>50.0</v>
      </c>
      <c r="I83" s="28">
        <v>50.0</v>
      </c>
      <c r="J83" s="28">
        <v>50.0</v>
      </c>
      <c r="K83" s="28">
        <v>50.0</v>
      </c>
      <c r="L83" s="28">
        <v>50.0</v>
      </c>
      <c r="M83" s="28">
        <v>50.0</v>
      </c>
      <c r="N83" s="28">
        <v>50.0</v>
      </c>
      <c r="O83" s="28">
        <v>50.0</v>
      </c>
      <c r="P83" s="7"/>
      <c r="Q83" s="29">
        <f t="shared" ref="Q83:Q87" si="23">SUM(D83:O83)</f>
        <v>600</v>
      </c>
    </row>
    <row r="84">
      <c r="A84" s="7"/>
      <c r="B84" s="31" t="s">
        <v>78</v>
      </c>
      <c r="C84" s="27"/>
      <c r="D84" s="29">
        <v>0.0</v>
      </c>
      <c r="E84" s="29">
        <v>0.0</v>
      </c>
      <c r="F84" s="29">
        <v>0.0</v>
      </c>
      <c r="G84" s="29">
        <v>0.0</v>
      </c>
      <c r="H84" s="29">
        <v>0.0</v>
      </c>
      <c r="I84" s="29">
        <v>0.0</v>
      </c>
      <c r="J84" s="29">
        <v>0.0</v>
      </c>
      <c r="K84" s="29">
        <v>0.0</v>
      </c>
      <c r="L84" s="29">
        <v>0.0</v>
      </c>
      <c r="M84" s="29">
        <v>0.0</v>
      </c>
      <c r="N84" s="29">
        <v>0.0</v>
      </c>
      <c r="O84" s="29">
        <v>0.0</v>
      </c>
      <c r="P84" s="7"/>
      <c r="Q84" s="29">
        <f t="shared" si="23"/>
        <v>0</v>
      </c>
    </row>
    <row r="85">
      <c r="A85" s="7"/>
      <c r="B85" s="31" t="s">
        <v>79</v>
      </c>
      <c r="C85" s="27"/>
      <c r="D85" s="29">
        <v>0.0</v>
      </c>
      <c r="E85" s="29">
        <v>0.0</v>
      </c>
      <c r="F85" s="29">
        <v>0.0</v>
      </c>
      <c r="G85" s="29">
        <v>0.0</v>
      </c>
      <c r="H85" s="29">
        <v>0.0</v>
      </c>
      <c r="I85" s="29">
        <v>0.0</v>
      </c>
      <c r="J85" s="29">
        <v>0.0</v>
      </c>
      <c r="K85" s="29">
        <v>0.0</v>
      </c>
      <c r="L85" s="29">
        <v>0.0</v>
      </c>
      <c r="M85" s="29">
        <v>0.0</v>
      </c>
      <c r="N85" s="29">
        <v>0.0</v>
      </c>
      <c r="O85" s="29">
        <v>0.0</v>
      </c>
      <c r="P85" s="7"/>
      <c r="Q85" s="29">
        <f t="shared" si="23"/>
        <v>0</v>
      </c>
    </row>
    <row r="86">
      <c r="A86" s="7"/>
      <c r="B86" s="31" t="s">
        <v>80</v>
      </c>
      <c r="C86" s="27"/>
      <c r="D86" s="28">
        <v>0.0</v>
      </c>
      <c r="E86" s="28">
        <v>0.0</v>
      </c>
      <c r="F86" s="28">
        <v>0.0</v>
      </c>
      <c r="G86" s="28">
        <v>0.0</v>
      </c>
      <c r="H86" s="28">
        <v>0.0</v>
      </c>
      <c r="I86" s="28">
        <v>0.0</v>
      </c>
      <c r="J86" s="28">
        <v>0.0</v>
      </c>
      <c r="K86" s="28">
        <v>0.0</v>
      </c>
      <c r="L86" s="28">
        <v>0.0</v>
      </c>
      <c r="M86" s="28">
        <v>0.0</v>
      </c>
      <c r="N86" s="28">
        <v>0.0</v>
      </c>
      <c r="O86" s="28">
        <v>0.0</v>
      </c>
      <c r="P86" s="7"/>
      <c r="Q86" s="29">
        <f t="shared" si="23"/>
        <v>0</v>
      </c>
    </row>
    <row r="87">
      <c r="A87" s="7"/>
      <c r="B87" s="31" t="s">
        <v>29</v>
      </c>
      <c r="C87" s="27"/>
      <c r="D87" s="29">
        <v>0.0</v>
      </c>
      <c r="E87" s="29">
        <v>0.0</v>
      </c>
      <c r="F87" s="29">
        <v>0.0</v>
      </c>
      <c r="G87" s="29">
        <v>0.0</v>
      </c>
      <c r="H87" s="29">
        <v>0.0</v>
      </c>
      <c r="I87" s="29">
        <v>0.0</v>
      </c>
      <c r="J87" s="29">
        <v>0.0</v>
      </c>
      <c r="K87" s="29">
        <v>0.0</v>
      </c>
      <c r="L87" s="29">
        <v>0.0</v>
      </c>
      <c r="M87" s="29">
        <v>0.0</v>
      </c>
      <c r="N87" s="29">
        <v>0.0</v>
      </c>
      <c r="O87" s="29">
        <v>0.0</v>
      </c>
      <c r="P87" s="7"/>
      <c r="Q87" s="29">
        <f t="shared" si="23"/>
        <v>0</v>
      </c>
    </row>
    <row r="88">
      <c r="A88" s="7"/>
      <c r="B88" s="16" t="s">
        <v>81</v>
      </c>
      <c r="C88" s="17"/>
      <c r="D88" s="18">
        <f t="shared" ref="D88:O88" si="24">SUM(D83:D87)</f>
        <v>50</v>
      </c>
      <c r="E88" s="18">
        <f t="shared" si="24"/>
        <v>50</v>
      </c>
      <c r="F88" s="18">
        <f t="shared" si="24"/>
        <v>50</v>
      </c>
      <c r="G88" s="18">
        <f t="shared" si="24"/>
        <v>50</v>
      </c>
      <c r="H88" s="18">
        <f t="shared" si="24"/>
        <v>50</v>
      </c>
      <c r="I88" s="18">
        <f t="shared" si="24"/>
        <v>50</v>
      </c>
      <c r="J88" s="18">
        <f t="shared" si="24"/>
        <v>50</v>
      </c>
      <c r="K88" s="18">
        <f t="shared" si="24"/>
        <v>50</v>
      </c>
      <c r="L88" s="18">
        <f t="shared" si="24"/>
        <v>50</v>
      </c>
      <c r="M88" s="18">
        <f t="shared" si="24"/>
        <v>50</v>
      </c>
      <c r="N88" s="18">
        <f t="shared" si="24"/>
        <v>50</v>
      </c>
      <c r="O88" s="18">
        <f t="shared" si="24"/>
        <v>50</v>
      </c>
      <c r="P88" s="7"/>
      <c r="Q88" s="18">
        <f>SUM(Q83:Q87)</f>
        <v>600</v>
      </c>
    </row>
    <row r="89">
      <c r="A89" s="7"/>
      <c r="B89" s="44"/>
      <c r="C89" s="7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7"/>
      <c r="Q89" s="44"/>
    </row>
    <row r="90">
      <c r="A90" s="7"/>
      <c r="B90" s="49" t="s">
        <v>82</v>
      </c>
      <c r="C90" s="25" t="s">
        <v>6</v>
      </c>
      <c r="D90" s="25" t="s">
        <v>7</v>
      </c>
      <c r="E90" s="25" t="s">
        <v>8</v>
      </c>
      <c r="F90" s="25" t="s">
        <v>9</v>
      </c>
      <c r="G90" s="25" t="s">
        <v>10</v>
      </c>
      <c r="H90" s="25" t="s">
        <v>11</v>
      </c>
      <c r="I90" s="25" t="s">
        <v>12</v>
      </c>
      <c r="J90" s="25" t="s">
        <v>13</v>
      </c>
      <c r="K90" s="25" t="s">
        <v>14</v>
      </c>
      <c r="L90" s="25" t="s">
        <v>15</v>
      </c>
      <c r="M90" s="25" t="s">
        <v>16</v>
      </c>
      <c r="N90" s="25" t="s">
        <v>17</v>
      </c>
      <c r="O90" s="25" t="s">
        <v>18</v>
      </c>
      <c r="P90" s="7"/>
      <c r="Q90" s="25" t="s">
        <v>19</v>
      </c>
    </row>
    <row r="91">
      <c r="A91" s="36">
        <v>0.21</v>
      </c>
      <c r="B91" s="26" t="s">
        <v>83</v>
      </c>
      <c r="C91" s="27"/>
      <c r="D91" s="29">
        <f t="shared" ref="D91:O91" si="25">D15*$A$91</f>
        <v>2274.9993</v>
      </c>
      <c r="E91" s="29">
        <f t="shared" si="25"/>
        <v>2274.9993</v>
      </c>
      <c r="F91" s="29">
        <f t="shared" si="25"/>
        <v>2274.9993</v>
      </c>
      <c r="G91" s="29">
        <f t="shared" si="25"/>
        <v>2274.9993</v>
      </c>
      <c r="H91" s="29">
        <f t="shared" si="25"/>
        <v>2274.9993</v>
      </c>
      <c r="I91" s="29">
        <f t="shared" si="25"/>
        <v>2274.9993</v>
      </c>
      <c r="J91" s="29">
        <f t="shared" si="25"/>
        <v>2274.9993</v>
      </c>
      <c r="K91" s="29">
        <f t="shared" si="25"/>
        <v>2274.9993</v>
      </c>
      <c r="L91" s="29">
        <f t="shared" si="25"/>
        <v>2274.9993</v>
      </c>
      <c r="M91" s="29">
        <f t="shared" si="25"/>
        <v>2274.9993</v>
      </c>
      <c r="N91" s="29">
        <f t="shared" si="25"/>
        <v>2274.9993</v>
      </c>
      <c r="O91" s="29">
        <f t="shared" si="25"/>
        <v>2274.9993</v>
      </c>
      <c r="P91" s="7"/>
      <c r="Q91" s="29">
        <f t="shared" ref="Q91:Q92" si="26">SUM(D91:O91)</f>
        <v>27299.9916</v>
      </c>
    </row>
    <row r="92">
      <c r="A92" s="7"/>
      <c r="B92" s="31" t="s">
        <v>29</v>
      </c>
      <c r="C92" s="27"/>
      <c r="D92" s="29">
        <v>0.0</v>
      </c>
      <c r="E92" s="29">
        <v>0.0</v>
      </c>
      <c r="F92" s="29">
        <v>0.0</v>
      </c>
      <c r="G92" s="29">
        <v>0.0</v>
      </c>
      <c r="H92" s="29">
        <v>0.0</v>
      </c>
      <c r="I92" s="29">
        <v>0.0</v>
      </c>
      <c r="J92" s="29">
        <v>0.0</v>
      </c>
      <c r="K92" s="29">
        <v>0.0</v>
      </c>
      <c r="L92" s="29">
        <v>0.0</v>
      </c>
      <c r="M92" s="29">
        <v>0.0</v>
      </c>
      <c r="N92" s="29">
        <v>0.0</v>
      </c>
      <c r="O92" s="29">
        <v>0.0</v>
      </c>
      <c r="P92" s="7"/>
      <c r="Q92" s="29">
        <f t="shared" si="26"/>
        <v>0</v>
      </c>
    </row>
    <row r="93">
      <c r="A93" s="7"/>
      <c r="B93" s="16" t="s">
        <v>84</v>
      </c>
      <c r="C93" s="17"/>
      <c r="D93" s="18">
        <f t="shared" ref="D93:O93" si="27">SUM(D91:D92)</f>
        <v>2274.9993</v>
      </c>
      <c r="E93" s="18">
        <f t="shared" si="27"/>
        <v>2274.9993</v>
      </c>
      <c r="F93" s="18">
        <f t="shared" si="27"/>
        <v>2274.9993</v>
      </c>
      <c r="G93" s="18">
        <f t="shared" si="27"/>
        <v>2274.9993</v>
      </c>
      <c r="H93" s="18">
        <f t="shared" si="27"/>
        <v>2274.9993</v>
      </c>
      <c r="I93" s="18">
        <f t="shared" si="27"/>
        <v>2274.9993</v>
      </c>
      <c r="J93" s="18">
        <f t="shared" si="27"/>
        <v>2274.9993</v>
      </c>
      <c r="K93" s="18">
        <f t="shared" si="27"/>
        <v>2274.9993</v>
      </c>
      <c r="L93" s="18">
        <f t="shared" si="27"/>
        <v>2274.9993</v>
      </c>
      <c r="M93" s="18">
        <f t="shared" si="27"/>
        <v>2274.9993</v>
      </c>
      <c r="N93" s="18">
        <f t="shared" si="27"/>
        <v>2274.9993</v>
      </c>
      <c r="O93" s="18">
        <f t="shared" si="27"/>
        <v>2274.9993</v>
      </c>
      <c r="P93" s="7"/>
      <c r="Q93" s="18">
        <f>SUM(Q91:Q92)</f>
        <v>27299.9916</v>
      </c>
    </row>
    <row r="94">
      <c r="A94" s="7"/>
      <c r="B94" s="44"/>
      <c r="C94" s="7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7"/>
      <c r="Q94" s="44"/>
    </row>
    <row r="95">
      <c r="A95" s="7"/>
      <c r="B95" s="16" t="s">
        <v>21</v>
      </c>
      <c r="C95" s="17"/>
      <c r="D95" s="18">
        <f t="shared" ref="D95:O95" si="28">SUM(D51,D59,D67,D80,D88,D93)</f>
        <v>6237.4993</v>
      </c>
      <c r="E95" s="18">
        <f t="shared" si="28"/>
        <v>6237.4993</v>
      </c>
      <c r="F95" s="18">
        <f t="shared" si="28"/>
        <v>6237.4993</v>
      </c>
      <c r="G95" s="18">
        <f t="shared" si="28"/>
        <v>6237.4993</v>
      </c>
      <c r="H95" s="18">
        <f t="shared" si="28"/>
        <v>6237.4993</v>
      </c>
      <c r="I95" s="18">
        <f t="shared" si="28"/>
        <v>6237.4993</v>
      </c>
      <c r="J95" s="18">
        <f t="shared" si="28"/>
        <v>6237.4993</v>
      </c>
      <c r="K95" s="18">
        <f t="shared" si="28"/>
        <v>6237.4993</v>
      </c>
      <c r="L95" s="18">
        <f t="shared" si="28"/>
        <v>6237.4993</v>
      </c>
      <c r="M95" s="18">
        <f t="shared" si="28"/>
        <v>6237.4993</v>
      </c>
      <c r="N95" s="18">
        <f t="shared" si="28"/>
        <v>6237.4993</v>
      </c>
      <c r="O95" s="18">
        <f t="shared" si="28"/>
        <v>6237.4993</v>
      </c>
      <c r="P95" s="7"/>
      <c r="Q95" s="18">
        <f>SUM(Q51,Q59,Q67,Q80,Q88,Q93)</f>
        <v>74849.9916</v>
      </c>
    </row>
    <row r="96">
      <c r="A96" s="7"/>
      <c r="B96" s="50"/>
      <c r="C96" s="7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7"/>
      <c r="Q96" s="42"/>
    </row>
    <row r="97">
      <c r="A97" s="43"/>
      <c r="B97" s="51" t="s">
        <v>85</v>
      </c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3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54"/>
      <c r="B101" s="55" t="s">
        <v>86</v>
      </c>
      <c r="C101" s="56" t="s">
        <v>87</v>
      </c>
      <c r="D101" s="57" t="s">
        <v>7</v>
      </c>
      <c r="E101" s="57" t="s">
        <v>8</v>
      </c>
      <c r="F101" s="57" t="s">
        <v>9</v>
      </c>
      <c r="G101" s="57" t="s">
        <v>10</v>
      </c>
      <c r="H101" s="57" t="s">
        <v>11</v>
      </c>
      <c r="I101" s="57" t="s">
        <v>12</v>
      </c>
      <c r="J101" s="57" t="s">
        <v>13</v>
      </c>
      <c r="K101" s="57" t="s">
        <v>14</v>
      </c>
      <c r="L101" s="57" t="s">
        <v>15</v>
      </c>
      <c r="M101" s="57" t="s">
        <v>16</v>
      </c>
      <c r="N101" s="57" t="s">
        <v>17</v>
      </c>
      <c r="O101" s="57" t="s">
        <v>18</v>
      </c>
      <c r="P101" s="58"/>
      <c r="Q101" s="59" t="s">
        <v>88</v>
      </c>
    </row>
    <row r="102">
      <c r="A102" s="7"/>
      <c r="B102" s="61" t="s">
        <v>141</v>
      </c>
      <c r="C102" s="62">
        <v>60000.0</v>
      </c>
      <c r="D102" s="63">
        <f t="shared" ref="D102:O102" si="29">C102-D62</f>
        <v>58655</v>
      </c>
      <c r="E102" s="63">
        <f t="shared" si="29"/>
        <v>57310</v>
      </c>
      <c r="F102" s="63">
        <f t="shared" si="29"/>
        <v>55965</v>
      </c>
      <c r="G102" s="63">
        <f t="shared" si="29"/>
        <v>54620</v>
      </c>
      <c r="H102" s="63">
        <f t="shared" si="29"/>
        <v>53275</v>
      </c>
      <c r="I102" s="63">
        <f t="shared" si="29"/>
        <v>51930</v>
      </c>
      <c r="J102" s="63">
        <f t="shared" si="29"/>
        <v>50585</v>
      </c>
      <c r="K102" s="63">
        <f t="shared" si="29"/>
        <v>49240</v>
      </c>
      <c r="L102" s="63">
        <f t="shared" si="29"/>
        <v>47895</v>
      </c>
      <c r="M102" s="63">
        <f t="shared" si="29"/>
        <v>46550</v>
      </c>
      <c r="N102" s="63">
        <f t="shared" si="29"/>
        <v>45205</v>
      </c>
      <c r="O102" s="63">
        <f t="shared" si="29"/>
        <v>43860</v>
      </c>
      <c r="P102" s="64"/>
      <c r="Q102" s="65">
        <f t="shared" ref="Q102:Q103" si="31">Q62</f>
        <v>16140</v>
      </c>
    </row>
    <row r="103">
      <c r="A103" s="7"/>
      <c r="B103" s="61" t="s">
        <v>138</v>
      </c>
      <c r="C103" s="62">
        <v>11500.0</v>
      </c>
      <c r="D103" s="63">
        <f t="shared" ref="D103:O103" si="30">C103-D64</f>
        <v>11100</v>
      </c>
      <c r="E103" s="63">
        <f t="shared" si="30"/>
        <v>10700</v>
      </c>
      <c r="F103" s="63">
        <f t="shared" si="30"/>
        <v>10300</v>
      </c>
      <c r="G103" s="63">
        <f t="shared" si="30"/>
        <v>9900</v>
      </c>
      <c r="H103" s="63">
        <f t="shared" si="30"/>
        <v>9500</v>
      </c>
      <c r="I103" s="63">
        <f t="shared" si="30"/>
        <v>9100</v>
      </c>
      <c r="J103" s="63">
        <f t="shared" si="30"/>
        <v>8700</v>
      </c>
      <c r="K103" s="63">
        <f t="shared" si="30"/>
        <v>8300</v>
      </c>
      <c r="L103" s="63">
        <f t="shared" si="30"/>
        <v>7900</v>
      </c>
      <c r="M103" s="63">
        <f t="shared" si="30"/>
        <v>7500</v>
      </c>
      <c r="N103" s="63">
        <f t="shared" si="30"/>
        <v>7100</v>
      </c>
      <c r="O103" s="63">
        <f t="shared" si="30"/>
        <v>6700</v>
      </c>
      <c r="P103" s="64"/>
      <c r="Q103" s="65">
        <f t="shared" si="31"/>
        <v>5220</v>
      </c>
    </row>
    <row r="104">
      <c r="A104" s="7"/>
      <c r="B104" s="149" t="s">
        <v>139</v>
      </c>
      <c r="C104" s="62">
        <v>2400.0</v>
      </c>
      <c r="D104" s="63">
        <f t="shared" ref="D104:O104" si="32">C104-D65</f>
        <v>2200</v>
      </c>
      <c r="E104" s="63">
        <f t="shared" si="32"/>
        <v>2000</v>
      </c>
      <c r="F104" s="63">
        <f t="shared" si="32"/>
        <v>1800</v>
      </c>
      <c r="G104" s="63">
        <f t="shared" si="32"/>
        <v>1600</v>
      </c>
      <c r="H104" s="63">
        <f t="shared" si="32"/>
        <v>1400</v>
      </c>
      <c r="I104" s="63">
        <f t="shared" si="32"/>
        <v>1200</v>
      </c>
      <c r="J104" s="63">
        <f t="shared" si="32"/>
        <v>1000</v>
      </c>
      <c r="K104" s="63">
        <f t="shared" si="32"/>
        <v>800</v>
      </c>
      <c r="L104" s="63">
        <f t="shared" si="32"/>
        <v>600</v>
      </c>
      <c r="M104" s="63">
        <f t="shared" si="32"/>
        <v>400</v>
      </c>
      <c r="N104" s="63">
        <f t="shared" si="32"/>
        <v>200</v>
      </c>
      <c r="O104" s="63">
        <f t="shared" si="32"/>
        <v>0</v>
      </c>
      <c r="P104" s="64"/>
      <c r="Q104" s="65">
        <f>Q65</f>
        <v>2400</v>
      </c>
    </row>
    <row r="105">
      <c r="A105" s="7"/>
      <c r="B105" s="67"/>
      <c r="C105" s="68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70"/>
      <c r="Q105" s="71"/>
    </row>
    <row r="106">
      <c r="A106" s="7"/>
      <c r="B106" s="72" t="s">
        <v>90</v>
      </c>
      <c r="C106" s="73">
        <f t="shared" ref="C106:O106" si="33">sum(C102:C104)</f>
        <v>73900</v>
      </c>
      <c r="D106" s="73">
        <f t="shared" si="33"/>
        <v>71955</v>
      </c>
      <c r="E106" s="73">
        <f t="shared" si="33"/>
        <v>70010</v>
      </c>
      <c r="F106" s="73">
        <f t="shared" si="33"/>
        <v>68065</v>
      </c>
      <c r="G106" s="73">
        <f t="shared" si="33"/>
        <v>66120</v>
      </c>
      <c r="H106" s="73">
        <f t="shared" si="33"/>
        <v>64175</v>
      </c>
      <c r="I106" s="73">
        <f t="shared" si="33"/>
        <v>62230</v>
      </c>
      <c r="J106" s="73">
        <f t="shared" si="33"/>
        <v>60285</v>
      </c>
      <c r="K106" s="73">
        <f t="shared" si="33"/>
        <v>58340</v>
      </c>
      <c r="L106" s="73">
        <f t="shared" si="33"/>
        <v>56395</v>
      </c>
      <c r="M106" s="73">
        <f t="shared" si="33"/>
        <v>54450</v>
      </c>
      <c r="N106" s="73">
        <f t="shared" si="33"/>
        <v>52505</v>
      </c>
      <c r="O106" s="73">
        <f t="shared" si="33"/>
        <v>50560</v>
      </c>
      <c r="P106" s="74"/>
      <c r="Q106" s="75">
        <f>SUM(Q102:Q104)</f>
        <v>23760</v>
      </c>
    </row>
    <row r="107">
      <c r="A107" s="7"/>
      <c r="B107" s="76"/>
      <c r="C107" s="68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7"/>
      <c r="Q107" s="71"/>
    </row>
    <row r="108">
      <c r="A108" s="7"/>
      <c r="B108" s="79" t="s">
        <v>142</v>
      </c>
      <c r="C108" s="73">
        <f t="shared" ref="C108:O108" si="34">C106-14000</f>
        <v>59900</v>
      </c>
      <c r="D108" s="73">
        <f t="shared" si="34"/>
        <v>57955</v>
      </c>
      <c r="E108" s="73">
        <f t="shared" si="34"/>
        <v>56010</v>
      </c>
      <c r="F108" s="73">
        <f t="shared" si="34"/>
        <v>54065</v>
      </c>
      <c r="G108" s="73">
        <f t="shared" si="34"/>
        <v>52120</v>
      </c>
      <c r="H108" s="73">
        <f t="shared" si="34"/>
        <v>50175</v>
      </c>
      <c r="I108" s="73">
        <f t="shared" si="34"/>
        <v>48230</v>
      </c>
      <c r="J108" s="73">
        <f t="shared" si="34"/>
        <v>46285</v>
      </c>
      <c r="K108" s="73">
        <f t="shared" si="34"/>
        <v>44340</v>
      </c>
      <c r="L108" s="73">
        <f t="shared" si="34"/>
        <v>42395</v>
      </c>
      <c r="M108" s="73">
        <f t="shared" si="34"/>
        <v>40450</v>
      </c>
      <c r="N108" s="73">
        <f t="shared" si="34"/>
        <v>38505</v>
      </c>
      <c r="O108" s="73">
        <f t="shared" si="34"/>
        <v>36560</v>
      </c>
      <c r="P108" s="74"/>
      <c r="Q108" s="75">
        <f>SUM(Q102:Q104)</f>
        <v>23760</v>
      </c>
    </row>
    <row r="109">
      <c r="A109" s="7"/>
      <c r="B109" s="7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1"/>
    </row>
    <row r="110">
      <c r="A110" s="54"/>
      <c r="B110" s="55" t="s">
        <v>92</v>
      </c>
      <c r="C110" s="56" t="s">
        <v>87</v>
      </c>
      <c r="D110" s="57" t="s">
        <v>7</v>
      </c>
      <c r="E110" s="57" t="s">
        <v>8</v>
      </c>
      <c r="F110" s="57" t="s">
        <v>9</v>
      </c>
      <c r="G110" s="57" t="s">
        <v>10</v>
      </c>
      <c r="H110" s="57" t="s">
        <v>11</v>
      </c>
      <c r="I110" s="57" t="s">
        <v>12</v>
      </c>
      <c r="J110" s="57" t="s">
        <v>13</v>
      </c>
      <c r="K110" s="57" t="s">
        <v>14</v>
      </c>
      <c r="L110" s="57" t="s">
        <v>15</v>
      </c>
      <c r="M110" s="57" t="s">
        <v>16</v>
      </c>
      <c r="N110" s="57" t="s">
        <v>17</v>
      </c>
      <c r="O110" s="57" t="s">
        <v>18</v>
      </c>
      <c r="P110" s="58"/>
      <c r="Q110" s="59" t="s">
        <v>93</v>
      </c>
    </row>
    <row r="111">
      <c r="A111" s="7"/>
      <c r="B111" s="61" t="s">
        <v>113</v>
      </c>
      <c r="C111" s="62">
        <v>15000.0</v>
      </c>
      <c r="D111" s="82">
        <v>0.0</v>
      </c>
      <c r="E111" s="82">
        <v>0.0</v>
      </c>
      <c r="F111" s="82">
        <v>0.0</v>
      </c>
      <c r="G111" s="82">
        <v>0.0</v>
      </c>
      <c r="H111" s="82">
        <v>0.0</v>
      </c>
      <c r="I111" s="82">
        <v>0.0</v>
      </c>
      <c r="J111" s="82">
        <v>0.0</v>
      </c>
      <c r="K111" s="82">
        <v>0.0</v>
      </c>
      <c r="L111" s="82">
        <v>0.0</v>
      </c>
      <c r="M111" s="82">
        <v>0.0</v>
      </c>
      <c r="N111" s="82">
        <v>0.0</v>
      </c>
      <c r="O111" s="82">
        <v>15000.0</v>
      </c>
      <c r="P111" s="83"/>
      <c r="Q111" s="84">
        <v>0.0</v>
      </c>
    </row>
    <row r="112">
      <c r="A112" s="7"/>
      <c r="B112" s="61" t="s">
        <v>114</v>
      </c>
      <c r="C112" s="62">
        <v>15000.0</v>
      </c>
      <c r="D112" s="82">
        <v>0.0</v>
      </c>
      <c r="E112" s="82">
        <v>0.0</v>
      </c>
      <c r="F112" s="82">
        <v>0.0</v>
      </c>
      <c r="G112" s="82">
        <v>0.0</v>
      </c>
      <c r="H112" s="82">
        <v>0.0</v>
      </c>
      <c r="I112" s="82">
        <v>0.0</v>
      </c>
      <c r="J112" s="82">
        <v>0.0</v>
      </c>
      <c r="K112" s="82">
        <v>0.0</v>
      </c>
      <c r="L112" s="82">
        <v>0.0</v>
      </c>
      <c r="M112" s="82">
        <v>0.0</v>
      </c>
      <c r="N112" s="82">
        <v>0.0</v>
      </c>
      <c r="O112" s="82">
        <v>15000.0</v>
      </c>
      <c r="P112" s="83"/>
      <c r="Q112" s="84">
        <v>0.0</v>
      </c>
    </row>
    <row r="113">
      <c r="A113" s="7"/>
      <c r="B113" s="149" t="s">
        <v>143</v>
      </c>
      <c r="C113" s="62">
        <v>5400.0</v>
      </c>
      <c r="D113" s="82">
        <v>0.0</v>
      </c>
      <c r="E113" s="82">
        <v>0.0</v>
      </c>
      <c r="F113" s="82">
        <v>0.0</v>
      </c>
      <c r="G113" s="82">
        <v>0.0</v>
      </c>
      <c r="H113" s="82">
        <v>0.0</v>
      </c>
      <c r="I113" s="82">
        <v>0.0</v>
      </c>
      <c r="J113" s="82">
        <v>0.0</v>
      </c>
      <c r="K113" s="82">
        <v>0.0</v>
      </c>
      <c r="L113" s="82">
        <v>0.0</v>
      </c>
      <c r="M113" s="82">
        <v>0.0</v>
      </c>
      <c r="N113" s="82">
        <v>0.0</v>
      </c>
      <c r="O113" s="82">
        <v>5400.0</v>
      </c>
      <c r="P113" s="83"/>
      <c r="Q113" s="84">
        <v>0.0</v>
      </c>
    </row>
    <row r="114">
      <c r="A114" s="7"/>
      <c r="B114" s="149" t="s">
        <v>97</v>
      </c>
      <c r="C114" s="62">
        <v>500.0</v>
      </c>
      <c r="D114" s="82">
        <f t="shared" ref="D114:O114" si="35">C114+D11</f>
        <v>2387.4982</v>
      </c>
      <c r="E114" s="82">
        <f t="shared" si="35"/>
        <v>4274.9964</v>
      </c>
      <c r="F114" s="82">
        <f t="shared" si="35"/>
        <v>6162.4946</v>
      </c>
      <c r="G114" s="82">
        <f t="shared" si="35"/>
        <v>8049.9928</v>
      </c>
      <c r="H114" s="82">
        <f t="shared" si="35"/>
        <v>9937.491</v>
      </c>
      <c r="I114" s="82">
        <f t="shared" si="35"/>
        <v>11824.9892</v>
      </c>
      <c r="J114" s="82">
        <f t="shared" si="35"/>
        <v>13712.4874</v>
      </c>
      <c r="K114" s="82">
        <f t="shared" si="35"/>
        <v>15599.9856</v>
      </c>
      <c r="L114" s="82">
        <f t="shared" si="35"/>
        <v>17487.4838</v>
      </c>
      <c r="M114" s="82">
        <f t="shared" si="35"/>
        <v>19374.982</v>
      </c>
      <c r="N114" s="82">
        <f t="shared" si="35"/>
        <v>21262.4802</v>
      </c>
      <c r="O114" s="82">
        <f t="shared" si="35"/>
        <v>26149.9784</v>
      </c>
      <c r="P114" s="83"/>
      <c r="Q114" s="84">
        <f t="shared" ref="Q114:Q116" si="37">O114-C114</f>
        <v>25649.9784</v>
      </c>
    </row>
    <row r="115">
      <c r="A115" s="7"/>
      <c r="B115" s="149" t="s">
        <v>99</v>
      </c>
      <c r="C115" s="62">
        <v>11700.0</v>
      </c>
      <c r="D115" s="82">
        <f t="shared" ref="D115:O115" si="36">C115+D34</f>
        <v>12783.333</v>
      </c>
      <c r="E115" s="82">
        <f t="shared" si="36"/>
        <v>13866.666</v>
      </c>
      <c r="F115" s="82">
        <f t="shared" si="36"/>
        <v>14949.999</v>
      </c>
      <c r="G115" s="82">
        <f t="shared" si="36"/>
        <v>16033.332</v>
      </c>
      <c r="H115" s="82">
        <f t="shared" si="36"/>
        <v>17116.665</v>
      </c>
      <c r="I115" s="82">
        <f t="shared" si="36"/>
        <v>18199.998</v>
      </c>
      <c r="J115" s="82">
        <f t="shared" si="36"/>
        <v>19283.331</v>
      </c>
      <c r="K115" s="82">
        <f t="shared" si="36"/>
        <v>20366.664</v>
      </c>
      <c r="L115" s="82">
        <f t="shared" si="36"/>
        <v>21449.997</v>
      </c>
      <c r="M115" s="82">
        <f t="shared" si="36"/>
        <v>22533.33</v>
      </c>
      <c r="N115" s="82">
        <f t="shared" si="36"/>
        <v>23616.663</v>
      </c>
      <c r="O115" s="82">
        <f t="shared" si="36"/>
        <v>24699.996</v>
      </c>
      <c r="P115" s="83"/>
      <c r="Q115" s="84">
        <f t="shared" si="37"/>
        <v>12999.996</v>
      </c>
    </row>
    <row r="116">
      <c r="A116" s="7"/>
      <c r="B116" s="149" t="s">
        <v>100</v>
      </c>
      <c r="C116" s="62">
        <v>10100.0</v>
      </c>
      <c r="D116" s="82">
        <f t="shared" ref="D116:O116" si="38">C116+D33+($D$15*0.04)</f>
        <v>12158.3327</v>
      </c>
      <c r="E116" s="82">
        <f t="shared" si="38"/>
        <v>14216.6654</v>
      </c>
      <c r="F116" s="82">
        <f t="shared" si="38"/>
        <v>16274.9981</v>
      </c>
      <c r="G116" s="82">
        <f t="shared" si="38"/>
        <v>18333.3308</v>
      </c>
      <c r="H116" s="82">
        <f t="shared" si="38"/>
        <v>20391.6635</v>
      </c>
      <c r="I116" s="82">
        <f t="shared" si="38"/>
        <v>22449.9962</v>
      </c>
      <c r="J116" s="82">
        <f t="shared" si="38"/>
        <v>24508.3289</v>
      </c>
      <c r="K116" s="82">
        <f t="shared" si="38"/>
        <v>26566.6616</v>
      </c>
      <c r="L116" s="82">
        <f t="shared" si="38"/>
        <v>28624.9943</v>
      </c>
      <c r="M116" s="82">
        <f t="shared" si="38"/>
        <v>30683.327</v>
      </c>
      <c r="N116" s="82">
        <f t="shared" si="38"/>
        <v>32741.6597</v>
      </c>
      <c r="O116" s="82">
        <f t="shared" si="38"/>
        <v>34799.9924</v>
      </c>
      <c r="P116" s="83"/>
      <c r="Q116" s="84">
        <f t="shared" si="37"/>
        <v>24699.9924</v>
      </c>
    </row>
    <row r="117">
      <c r="A117" s="7"/>
      <c r="B117" s="149" t="s">
        <v>29</v>
      </c>
      <c r="C117" s="62">
        <v>0.0</v>
      </c>
      <c r="D117" s="82">
        <v>0.0</v>
      </c>
      <c r="E117" s="82">
        <v>0.0</v>
      </c>
      <c r="F117" s="82">
        <v>0.0</v>
      </c>
      <c r="G117" s="82">
        <v>0.0</v>
      </c>
      <c r="H117" s="82">
        <v>0.0</v>
      </c>
      <c r="I117" s="82">
        <v>0.0</v>
      </c>
      <c r="J117" s="82">
        <v>0.0</v>
      </c>
      <c r="K117" s="82">
        <v>0.0</v>
      </c>
      <c r="L117" s="82">
        <v>0.0</v>
      </c>
      <c r="M117" s="82">
        <v>0.0</v>
      </c>
      <c r="N117" s="82">
        <v>0.0</v>
      </c>
      <c r="O117" s="82">
        <v>0.0</v>
      </c>
      <c r="P117" s="83"/>
      <c r="Q117" s="84">
        <v>0.0</v>
      </c>
    </row>
    <row r="118">
      <c r="A118" s="7"/>
      <c r="B118" s="67"/>
      <c r="C118" s="6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9"/>
      <c r="Q118" s="90"/>
    </row>
    <row r="119">
      <c r="A119" s="7"/>
      <c r="B119" s="72" t="s">
        <v>102</v>
      </c>
      <c r="C119" s="73">
        <f>sum(C111:C117)</f>
        <v>57700</v>
      </c>
      <c r="D119" s="73">
        <f t="shared" ref="D119:N119" si="39">sum(D111:D113)</f>
        <v>0</v>
      </c>
      <c r="E119" s="73">
        <f t="shared" si="39"/>
        <v>0</v>
      </c>
      <c r="F119" s="73">
        <f t="shared" si="39"/>
        <v>0</v>
      </c>
      <c r="G119" s="73">
        <f t="shared" si="39"/>
        <v>0</v>
      </c>
      <c r="H119" s="73">
        <f t="shared" si="39"/>
        <v>0</v>
      </c>
      <c r="I119" s="73">
        <f t="shared" si="39"/>
        <v>0</v>
      </c>
      <c r="J119" s="73">
        <f t="shared" si="39"/>
        <v>0</v>
      </c>
      <c r="K119" s="73">
        <f t="shared" si="39"/>
        <v>0</v>
      </c>
      <c r="L119" s="73">
        <f t="shared" si="39"/>
        <v>0</v>
      </c>
      <c r="M119" s="73">
        <f t="shared" si="39"/>
        <v>0</v>
      </c>
      <c r="N119" s="73">
        <f t="shared" si="39"/>
        <v>0</v>
      </c>
      <c r="O119" s="73">
        <f>Sum(O111:O117)</f>
        <v>121049.9668</v>
      </c>
      <c r="P119" s="91"/>
      <c r="Q119" s="75">
        <f>SUM(Q111:Q118)</f>
        <v>63349.9668</v>
      </c>
    </row>
  </sheetData>
  <mergeCells count="5">
    <mergeCell ref="B2:C2"/>
    <mergeCell ref="B3:C3"/>
    <mergeCell ref="B5:C5"/>
    <mergeCell ref="B6:C6"/>
    <mergeCell ref="B97:Q97"/>
  </mergeCells>
  <conditionalFormatting sqref="D9:O11 D38:O95 Q38:Q40 D101:O104 D107:O107 D110:O117">
    <cfRule type="cellIs" dxfId="0" priority="1" operator="lessThan">
      <formula>0</formula>
    </cfRule>
  </conditionalFormatting>
  <conditionalFormatting sqref="D15:O20">
    <cfRule type="cellIs" dxfId="0" priority="2" operator="lessThan">
      <formula>0</formula>
    </cfRule>
  </conditionalFormatting>
  <conditionalFormatting sqref="D23:O28">
    <cfRule type="cellIs" dxfId="0" priority="3" operator="lessThan">
      <formula>0</formula>
    </cfRule>
  </conditionalFormatting>
  <conditionalFormatting sqref="D30:O30 Q30">
    <cfRule type="cellIs" dxfId="0" priority="4" operator="lessThan">
      <formula>0</formula>
    </cfRule>
  </conditionalFormatting>
  <conditionalFormatting sqref="D33:O36 C40">
    <cfRule type="cellIs" dxfId="0" priority="5" operator="lessThan">
      <formula>0</formula>
    </cfRule>
  </conditionalFormatting>
  <conditionalFormatting sqref="Q9:Q11">
    <cfRule type="cellIs" dxfId="0" priority="6" operator="lessThan">
      <formula>0</formula>
    </cfRule>
  </conditionalFormatting>
  <conditionalFormatting sqref="Q15:Q20 Q33:Q36 Q54:Q60 Q83:Q89 Q91:Q95">
    <cfRule type="cellIs" dxfId="0" priority="7" operator="lessThan">
      <formula>0</formula>
    </cfRule>
  </conditionalFormatting>
  <conditionalFormatting sqref="Q23:Q28">
    <cfRule type="cellIs" dxfId="0" priority="8" operator="lessThan">
      <formula>0</formula>
    </cfRule>
  </conditionalFormatting>
  <conditionalFormatting sqref="Q42:Q52">
    <cfRule type="cellIs" dxfId="0" priority="9" operator="lessThan">
      <formula>0</formula>
    </cfRule>
  </conditionalFormatting>
  <conditionalFormatting sqref="Q62:Q68 Q70:Q81 Q101:Q108 Q110:Q119">
    <cfRule type="cellIs" dxfId="0" priority="10" operator="lessThan">
      <formula>0</formula>
    </cfRule>
  </conditionalFormatting>
  <hyperlinks>
    <hyperlink r:id="rId1" ref="B108"/>
  </hyperlinks>
  <drawing r:id="rId2"/>
  <extLst>
    <ext uri="{05C60535-1F16-4fd2-B633-F4F36F0B64E0}">
      <x14:sparklineGroups>
        <x14:sparklineGroup displayEmptyCellsAs="gap">
          <x14:colorSeries rgb="FF00B050"/>
          <x14:sparklines>
            <x14:sparkline>
              <xm:f>'CHARLEY 2026 Projections'!D9:O9</xm:f>
              <xm:sqref>C9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Projections'!D10:O10</xm:f>
              <xm:sqref>C10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Projections'!D11:O11</xm:f>
              <xm:sqref>C11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Projections'!D14:O14</xm:f>
              <xm:sqref>C15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Projections'!D15:O15</xm:f>
              <xm:sqref>C16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Projections'!D16:O16</xm:f>
              <xm:sqref>C17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Projections'!D17:O17</xm:f>
              <xm:sqref>C18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Projections'!E19:O19</xm:f>
              <xm:sqref>C19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Projections'!D20:O20</xm:f>
              <xm:sqref>C20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Projections'!D23:O23</xm:f>
              <xm:sqref>C23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Projections'!D24:O24</xm:f>
              <xm:sqref>C24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Projections'!D25:O25</xm:f>
              <xm:sqref>C25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Projections'!D26:O26</xm:f>
              <xm:sqref>C26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Projections'!D27:O27</xm:f>
              <xm:sqref>C27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Projections'!D28:O28</xm:f>
              <xm:sqref>C28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Projections'!D30:O30</xm:f>
              <xm:sqref>C30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Projections'!D33:O33</xm:f>
              <xm:sqref>C33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Projections'!D34:O34</xm:f>
              <xm:sqref>C34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Projections'!D35:O35</xm:f>
              <xm:sqref>C35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Projections'!D36:O36</xm:f>
              <xm:sqref>C36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Projections'!D38:O38</xm:f>
              <xm:sqref>C38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Projections'!D42:O42</xm:f>
              <xm:sqref>C42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Projections'!D43:O43</xm:f>
              <xm:sqref>C43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Projections'!D44:O44</xm:f>
              <xm:sqref>C44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Projections'!D45:O45</xm:f>
              <xm:sqref>C45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Projections'!D46:O46</xm:f>
              <xm:sqref>C46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Projections'!D47:O47</xm:f>
              <xm:sqref>C47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Projections'!D48:O48</xm:f>
              <xm:sqref>C48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Projections'!D49:O49</xm:f>
              <xm:sqref>C49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Projections'!D50:O50</xm:f>
              <xm:sqref>C50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Projections'!D51:O51</xm:f>
              <xm:sqref>C51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Projections'!D54:O54</xm:f>
              <xm:sqref>C54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Projections'!D55:O55</xm:f>
              <xm:sqref>C55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Projections'!D56:O56</xm:f>
              <xm:sqref>C56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Projections'!D57:O57</xm:f>
              <xm:sqref>C57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Projections'!D58:O58</xm:f>
              <xm:sqref>C58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Projections'!D59:O59</xm:f>
              <xm:sqref>C59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Projections'!D62:O62</xm:f>
              <xm:sqref>C62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Projections'!D63:O63</xm:f>
              <xm:sqref>C63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Projections'!D64:O64</xm:f>
              <xm:sqref>C64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Projections'!D66:O66</xm:f>
              <xm:sqref>C66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Projections'!D67:O67</xm:f>
              <xm:sqref>C67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Projections'!D70:O70</xm:f>
              <xm:sqref>C70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Projections'!D71:O71</xm:f>
              <xm:sqref>C71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Projections'!D72:O72</xm:f>
              <xm:sqref>C72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Projections'!D73:O73</xm:f>
              <xm:sqref>C73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Projections'!D74:O74</xm:f>
              <xm:sqref>C74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Projections'!D75:O75</xm:f>
              <xm:sqref>C75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Projections'!D76:O76</xm:f>
              <xm:sqref>C76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Projections'!D77:O77</xm:f>
              <xm:sqref>C77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Projections'!D78:O78</xm:f>
              <xm:sqref>C78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Projections'!D80:O80</xm:f>
              <xm:sqref>C79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Projections'!D81:O81</xm:f>
              <xm:sqref>C80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Projections'!D84:O84</xm:f>
              <xm:sqref>C83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Projections'!D85:O85</xm:f>
              <xm:sqref>C84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Projections'!D86:O86</xm:f>
              <xm:sqref>C85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Projections'!D87:O87</xm:f>
              <xm:sqref>C86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Projections'!D88:O88</xm:f>
              <xm:sqref>C87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Projections'!D89:O89</xm:f>
              <xm:sqref>C88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Projections'!D92:O92</xm:f>
              <xm:sqref>C91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Projections'!D93:O93</xm:f>
              <xm:sqref>C92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Projections'!D94:O94</xm:f>
              <xm:sqref>C93</xm:sqref>
            </x14:sparkline>
          </x14:sparklines>
        </x14:sparklineGroup>
        <x14:sparklineGroup displayEmptyCellsAs="gap">
          <x14:colorSeries rgb="FF00B050"/>
          <x14:sparklines>
            <x14:sparkline>
              <xm:f>'CHARLEY 2026 Projections'!D96:O96</xm:f>
              <xm:sqref>C95</xm:sqref>
            </x14:sparkline>
          </x14:sparklines>
        </x14:sparklineGroup>
      </x14:sparklineGroups>
    </ext>
  </extLst>
</worksheet>
</file>