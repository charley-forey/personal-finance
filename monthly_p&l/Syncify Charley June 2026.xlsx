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cify Charley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03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June 2026 Actual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07/03/2026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D39</f>
        <v/>
      </c>
      <c r="E9" s="18">
        <f>E39</f>
        <v/>
      </c>
      <c r="F9" s="18">
        <f>F39</f>
        <v/>
      </c>
      <c r="G9" s="18">
        <f>G39</f>
        <v/>
      </c>
      <c r="H9" s="18">
        <f>H39</f>
        <v/>
      </c>
      <c r="I9" s="18">
        <f>I39</f>
        <v/>
      </c>
      <c r="J9" s="18">
        <f>J39</f>
        <v/>
      </c>
      <c r="K9" s="18">
        <f>K39</f>
        <v/>
      </c>
      <c r="L9" s="18">
        <f>L39</f>
        <v/>
      </c>
      <c r="M9" s="18">
        <f>M39</f>
        <v/>
      </c>
      <c r="N9" s="18">
        <f>N39</f>
        <v/>
      </c>
      <c r="O9" s="18">
        <f>O39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D96</f>
        <v/>
      </c>
      <c r="E10" s="21">
        <f>E96</f>
        <v/>
      </c>
      <c r="F10" s="21">
        <f>F96</f>
        <v/>
      </c>
      <c r="G10" s="21">
        <f>G96</f>
        <v/>
      </c>
      <c r="H10" s="21">
        <f>H96</f>
        <v/>
      </c>
      <c r="I10" s="21">
        <f>I96</f>
        <v/>
      </c>
      <c r="J10" s="21">
        <f>J96</f>
        <v/>
      </c>
      <c r="K10" s="21">
        <f>K96</f>
        <v/>
      </c>
      <c r="L10" s="21">
        <f>L96</f>
        <v/>
      </c>
      <c r="M10" s="21">
        <f>M96</f>
        <v/>
      </c>
      <c r="N10" s="21">
        <f>N96</f>
        <v/>
      </c>
      <c r="O10" s="21">
        <f>O96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>
        <f>5000+5000</f>
        <v/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25000</v>
      </c>
      <c r="K14" s="29" t="n">
        <v>25000</v>
      </c>
      <c r="L14" s="29" t="n">
        <v>25000</v>
      </c>
      <c r="M14" s="29" t="n">
        <v>25000</v>
      </c>
      <c r="N14" s="29" t="n">
        <v>25000</v>
      </c>
      <c r="O14" s="29" t="n">
        <v>25000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2500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Business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Sales of Assets</t>
        </is>
      </c>
      <c r="C17" s="27" t="n"/>
      <c r="D17" s="29" t="n"/>
      <c r="E17" s="29" t="n">
        <v>0</v>
      </c>
      <c r="F17" s="29" t="n">
        <v>0</v>
      </c>
      <c r="G17" s="29" t="n">
        <v>2400</v>
      </c>
      <c r="H17" s="29" t="n">
        <v>250</v>
      </c>
      <c r="I17" s="29" t="n">
        <v>500</v>
      </c>
      <c r="J17" s="101" t="n">
        <v>2000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Other</t>
        </is>
      </c>
      <c r="C18" s="27" t="n"/>
      <c r="D18" s="29" t="n">
        <v>0</v>
      </c>
      <c r="E18" s="29" t="n">
        <v>0</v>
      </c>
      <c r="F18" s="29" t="n">
        <v>0</v>
      </c>
      <c r="G18" s="29" t="n">
        <v>200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  <c r="S18" s="78" t="n"/>
      <c r="T18" s="78" t="n"/>
      <c r="U18" s="78" t="n"/>
      <c r="V18" s="78" t="n"/>
    </row>
    <row r="19" ht="19.5" customHeight="1" s="150">
      <c r="A19" s="78" t="n"/>
      <c r="B19" s="16" t="inlineStr">
        <is>
          <t>TOTAL REVENUE</t>
        </is>
      </c>
      <c r="C19" s="17" t="n"/>
      <c r="D19" s="18">
        <f>SUM(D14:D18)</f>
        <v/>
      </c>
      <c r="E19" s="18">
        <f>SUM(E14:E18)</f>
        <v/>
      </c>
      <c r="F19" s="18">
        <f>SUM(F14:F18)</f>
        <v/>
      </c>
      <c r="G19" s="18">
        <f>SUM(G14:G18)</f>
        <v/>
      </c>
      <c r="H19" s="18">
        <f>SUM(H14:H18)</f>
        <v/>
      </c>
      <c r="I19" s="18">
        <f>SUM(I14:I18)</f>
        <v/>
      </c>
      <c r="J19" s="18">
        <f>SUM(J14:J18)</f>
        <v/>
      </c>
      <c r="K19" s="18">
        <f>SUM(K14:K18)</f>
        <v/>
      </c>
      <c r="L19" s="18">
        <f>SUM(L14:L18)</f>
        <v/>
      </c>
      <c r="M19" s="18">
        <f>SUM(M14:M18)</f>
        <v/>
      </c>
      <c r="N19" s="18">
        <f>SUM(N14:N18)</f>
        <v/>
      </c>
      <c r="O19" s="18">
        <f>SUM(O14:O18)</f>
        <v/>
      </c>
      <c r="P19" s="19" t="n"/>
      <c r="Q19" s="18">
        <f>SUM(Q14:Q18)</f>
        <v/>
      </c>
      <c r="S19" s="78" t="n"/>
      <c r="T19" s="78" t="n"/>
      <c r="U19" s="78" t="n"/>
      <c r="V19" s="78" t="n"/>
    </row>
    <row r="20" hidden="1" ht="19.5" customHeight="1" s="150">
      <c r="A20" s="78" t="n"/>
      <c r="B20" s="78" t="n"/>
      <c r="C20" s="19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19" t="n"/>
      <c r="Q20" s="78" t="n"/>
      <c r="S20" s="78" t="n"/>
      <c r="T20" s="78" t="n"/>
      <c r="U20" s="78" t="n"/>
      <c r="V20" s="78" t="n"/>
    </row>
    <row r="21" hidden="1" ht="31.5" customHeight="1" s="150">
      <c r="A21" s="78" t="n"/>
      <c r="B21" s="24" t="inlineStr">
        <is>
          <t>COST OF GOODS SOLD (COGS)</t>
        </is>
      </c>
      <c r="C21" s="15" t="inlineStr">
        <is>
          <t>TREND</t>
        </is>
      </c>
      <c r="D21" s="15" t="inlineStr">
        <is>
          <t>JANUARY</t>
        </is>
      </c>
      <c r="E21" s="15" t="inlineStr">
        <is>
          <t>FEBRUARY</t>
        </is>
      </c>
      <c r="F21" s="15" t="inlineStr">
        <is>
          <t>MARCH</t>
        </is>
      </c>
      <c r="G21" s="15" t="inlineStr">
        <is>
          <t>APRIL</t>
        </is>
      </c>
      <c r="H21" s="15" t="inlineStr">
        <is>
          <t>MAY</t>
        </is>
      </c>
      <c r="I21" s="15" t="inlineStr">
        <is>
          <t>JUNE</t>
        </is>
      </c>
      <c r="J21" s="15" t="inlineStr">
        <is>
          <t>JULY</t>
        </is>
      </c>
      <c r="K21" s="15" t="inlineStr">
        <is>
          <t>AUGUST</t>
        </is>
      </c>
      <c r="L21" s="15" t="inlineStr">
        <is>
          <t>SEPTEMBER</t>
        </is>
      </c>
      <c r="M21" s="15" t="inlineStr">
        <is>
          <t>OCTOBER</t>
        </is>
      </c>
      <c r="N21" s="15" t="inlineStr">
        <is>
          <t>NOVEMBER</t>
        </is>
      </c>
      <c r="O21" s="15" t="inlineStr">
        <is>
          <t>DECEMBER</t>
        </is>
      </c>
      <c r="P21" s="19" t="n"/>
      <c r="Q21" s="25" t="inlineStr">
        <is>
          <t>YTD</t>
        </is>
      </c>
      <c r="S21" s="78" t="n"/>
      <c r="T21" s="78" t="n"/>
      <c r="U21" s="78" t="n"/>
      <c r="V21" s="78" t="n"/>
    </row>
    <row r="22" hidden="1" ht="19.5" customHeight="1" s="150">
      <c r="A22" s="30" t="n"/>
      <c r="B22" s="31" t="inlineStr">
        <is>
          <t>Inventory Purchases</t>
        </is>
      </c>
      <c r="C22" s="27" t="n"/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0</v>
      </c>
      <c r="P22" s="19" t="n"/>
      <c r="Q22" s="33">
        <f>SUM(D22:O22)</f>
        <v/>
      </c>
      <c r="S22" s="30" t="n"/>
      <c r="T22" s="30" t="n"/>
      <c r="U22" s="30" t="n"/>
      <c r="V22" s="30" t="n"/>
    </row>
    <row r="23" hidden="1" ht="19.5" customHeight="1" s="150">
      <c r="A23" s="78" t="n"/>
      <c r="B23" s="31" t="inlineStr">
        <is>
          <t>Manufacturing Costs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4" t="n"/>
      <c r="Q23" s="33">
        <f>SUM(D23:O23)</f>
        <v/>
      </c>
      <c r="S23" s="78" t="n"/>
      <c r="T23" s="78" t="n"/>
      <c r="U23" s="78" t="n"/>
      <c r="V23" s="78" t="n"/>
    </row>
    <row r="24" hidden="1" ht="19.5" customHeight="1" s="150">
      <c r="A24" s="78" t="n"/>
      <c r="B24" s="31" t="inlineStr">
        <is>
          <t>Shipping and Freight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Warehouse Costs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3" t="n"/>
      <c r="B26" s="31" t="inlineStr">
        <is>
          <t>Other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3" t="n"/>
      <c r="T26" s="3" t="n"/>
      <c r="U26" s="3" t="n"/>
      <c r="V26" s="3" t="n"/>
    </row>
    <row r="27" hidden="1" ht="19.5" customHeight="1" s="150">
      <c r="A27" s="78" t="n"/>
      <c r="B27" s="16" t="inlineStr">
        <is>
          <t>TOTAL COGS</t>
        </is>
      </c>
      <c r="C27" s="17" t="n"/>
      <c r="D27" s="18">
        <f>SUM(D22:D26)</f>
        <v/>
      </c>
      <c r="E27" s="18">
        <f>SUM(E22:E26)</f>
        <v/>
      </c>
      <c r="F27" s="18">
        <f>SUM(F22:F26)</f>
        <v/>
      </c>
      <c r="G27" s="18">
        <f>SUM(G22:G26)</f>
        <v/>
      </c>
      <c r="H27" s="18">
        <f>SUM(H22:H26)</f>
        <v/>
      </c>
      <c r="I27" s="18">
        <f>SUM(I22:I26)</f>
        <v/>
      </c>
      <c r="J27" s="18">
        <f>SUM(J22:J26)</f>
        <v/>
      </c>
      <c r="K27" s="18">
        <f>SUM(K22:K26)</f>
        <v/>
      </c>
      <c r="L27" s="18">
        <f>SUM(L22:L26)</f>
        <v/>
      </c>
      <c r="M27" s="18">
        <f>SUM(M22:M26)</f>
        <v/>
      </c>
      <c r="N27" s="18">
        <f>SUM(N22:N26)</f>
        <v/>
      </c>
      <c r="O27" s="18">
        <f>SUM(O22:O26)</f>
        <v/>
      </c>
      <c r="P27" s="19" t="n"/>
      <c r="Q27" s="18">
        <f>SUM(Q22:Q26)</f>
        <v/>
      </c>
      <c r="S27" s="78" t="n"/>
      <c r="T27" s="78" t="n"/>
      <c r="U27" s="78" t="n"/>
      <c r="V27" s="78" t="n"/>
    </row>
    <row r="28" ht="19.5" customHeight="1" s="150">
      <c r="A28" s="78" t="n"/>
      <c r="B28" s="78" t="n"/>
      <c r="C28" s="19" t="n"/>
      <c r="D28" s="78" t="n"/>
      <c r="E28" s="78" t="n"/>
      <c r="F28" s="78" t="n"/>
      <c r="G28" s="78" t="n"/>
      <c r="H28" s="78" t="n"/>
      <c r="I28" s="78" t="n"/>
      <c r="J28" s="78" t="n"/>
      <c r="K28" s="78" t="n"/>
      <c r="L28" s="78" t="n"/>
      <c r="M28" s="78" t="n"/>
      <c r="N28" s="78" t="n"/>
      <c r="O28" s="78" t="n"/>
      <c r="P28" s="19" t="n"/>
      <c r="Q28" s="78" t="n"/>
      <c r="S28" s="78" t="n"/>
      <c r="T28" s="78" t="n"/>
      <c r="U28" s="78" t="n"/>
      <c r="V28" s="78" t="n"/>
    </row>
    <row r="29" ht="19.5" customHeight="1" s="150">
      <c r="A29" s="78" t="n"/>
      <c r="B29" s="16" t="inlineStr">
        <is>
          <t>GROSS PROFIT</t>
        </is>
      </c>
      <c r="C29" s="17" t="n"/>
      <c r="D29" s="18">
        <f>D19-D27</f>
        <v/>
      </c>
      <c r="E29" s="18">
        <f>E19-E27</f>
        <v/>
      </c>
      <c r="F29" s="18">
        <f>F19-F27</f>
        <v/>
      </c>
      <c r="G29" s="18">
        <f>G19-G27</f>
        <v/>
      </c>
      <c r="H29" s="18">
        <f>H19-H27</f>
        <v/>
      </c>
      <c r="I29" s="18">
        <f>I19-I27</f>
        <v/>
      </c>
      <c r="J29" s="18">
        <f>J19-J27</f>
        <v/>
      </c>
      <c r="K29" s="18">
        <f>K19-K27</f>
        <v/>
      </c>
      <c r="L29" s="18">
        <f>L19-L27</f>
        <v/>
      </c>
      <c r="M29" s="18">
        <f>M19-M27</f>
        <v/>
      </c>
      <c r="N29" s="18">
        <f>N19-N27</f>
        <v/>
      </c>
      <c r="O29" s="18">
        <f>O19-O27</f>
        <v/>
      </c>
      <c r="P29" s="19" t="n"/>
      <c r="Q29" s="18">
        <f>Q19-Q27</f>
        <v/>
      </c>
      <c r="S29" s="78" t="n"/>
      <c r="T29" s="78" t="n"/>
      <c r="U29" s="78" t="n"/>
      <c r="V29" s="78" t="n"/>
    </row>
    <row r="30" ht="19.5" customHeight="1" s="150">
      <c r="A30" s="78" t="n"/>
      <c r="B30" s="78" t="n"/>
      <c r="C30" s="19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8" t="n"/>
      <c r="P30" s="19" t="n"/>
      <c r="Q30" s="78" t="n"/>
      <c r="S30" s="78" t="n"/>
      <c r="T30" s="78" t="n"/>
      <c r="U30" s="78" t="n"/>
      <c r="V30" s="78" t="n"/>
    </row>
    <row r="31" ht="31.5" customHeight="1" s="150">
      <c r="A31" s="78" t="n"/>
      <c r="B31" s="35" t="inlineStr">
        <is>
          <t>Investments</t>
        </is>
      </c>
      <c r="C31" s="15" t="inlineStr">
        <is>
          <t>TREND</t>
        </is>
      </c>
      <c r="D31" s="15" t="inlineStr">
        <is>
          <t>JANUARY</t>
        </is>
      </c>
      <c r="E31" s="15" t="inlineStr">
        <is>
          <t>FEBRUARY</t>
        </is>
      </c>
      <c r="F31" s="15" t="inlineStr">
        <is>
          <t>MARCH</t>
        </is>
      </c>
      <c r="G31" s="15" t="inlineStr">
        <is>
          <t>APRIL</t>
        </is>
      </c>
      <c r="H31" s="15" t="inlineStr">
        <is>
          <t>MAY</t>
        </is>
      </c>
      <c r="I31" s="15" t="inlineStr">
        <is>
          <t>JUNE</t>
        </is>
      </c>
      <c r="J31" s="15" t="inlineStr">
        <is>
          <t>JULY</t>
        </is>
      </c>
      <c r="K31" s="15" t="inlineStr">
        <is>
          <t>AUGUST</t>
        </is>
      </c>
      <c r="L31" s="15" t="inlineStr">
        <is>
          <t>SEPTEMBER</t>
        </is>
      </c>
      <c r="M31" s="15" t="inlineStr">
        <is>
          <t>OCTOBER</t>
        </is>
      </c>
      <c r="N31" s="15" t="inlineStr">
        <is>
          <t>NOVEMBER</t>
        </is>
      </c>
      <c r="O31" s="15" t="inlineStr">
        <is>
          <t>DECEMBER</t>
        </is>
      </c>
      <c r="P31" s="19" t="n"/>
      <c r="Q31" s="25" t="inlineStr">
        <is>
          <t>YTD</t>
        </is>
      </c>
      <c r="S31" s="78" t="n"/>
      <c r="T31" s="78" t="n"/>
      <c r="U31" s="78" t="n"/>
      <c r="V31" s="78" t="n"/>
    </row>
    <row r="32" ht="19.5" customHeight="1" s="150">
      <c r="A32" s="36" t="n">
        <v>0.145</v>
      </c>
      <c r="B32" s="31" t="inlineStr">
        <is>
          <t>401k (Change to 17.5%)</t>
        </is>
      </c>
      <c r="C32" s="27" t="n"/>
      <c r="D32" s="33">
        <f>900+450+900</f>
        <v/>
      </c>
      <c r="E32" s="33">
        <f>E14*$A$32</f>
        <v/>
      </c>
      <c r="F32" s="33">
        <f>F14*$A$32</f>
        <v/>
      </c>
      <c r="G32" s="33">
        <f>G14*$A$32</f>
        <v/>
      </c>
      <c r="H32" s="33">
        <f>H14*$A$32</f>
        <v/>
      </c>
      <c r="I32" s="33">
        <f>I14*$A$32</f>
        <v/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33" t="n">
        <v>0</v>
      </c>
      <c r="P32" s="19" t="n"/>
      <c r="Q32" s="33">
        <f>SUM(D32:O32)</f>
        <v/>
      </c>
      <c r="S32" s="30" t="n"/>
      <c r="T32" s="30" t="n"/>
      <c r="U32" s="30" t="n"/>
      <c r="V32" s="30" t="n"/>
    </row>
    <row r="33" ht="19.5" customHeight="1" s="150">
      <c r="A33" s="36" t="n">
        <v>0.1</v>
      </c>
      <c r="B33" s="31" t="inlineStr">
        <is>
          <t>ESPP (Change to 8%)</t>
        </is>
      </c>
      <c r="C33" s="27" t="n"/>
      <c r="D33" s="33">
        <f>512+250+512</f>
        <v/>
      </c>
      <c r="E33" s="33">
        <f>E14*$A$33</f>
        <v/>
      </c>
      <c r="F33" s="33">
        <f>F14*$A$33</f>
        <v/>
      </c>
      <c r="G33" s="33">
        <f>G14*$A$33</f>
        <v/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0</v>
      </c>
      <c r="N33" s="33" t="n">
        <v>0</v>
      </c>
      <c r="O33" s="33" t="n">
        <v>0</v>
      </c>
      <c r="P33" s="34" t="n"/>
      <c r="Q33" s="33">
        <f>SUM(D33:O33)</f>
        <v/>
      </c>
      <c r="S33" s="78" t="n"/>
      <c r="T33" s="78" t="n"/>
      <c r="U33" s="78" t="n"/>
      <c r="V33" s="78" t="n"/>
    </row>
    <row r="34" ht="19.5" customHeight="1" s="150">
      <c r="A34" s="54" t="n"/>
      <c r="B34" s="94" t="inlineStr">
        <is>
          <t>Investment</t>
        </is>
      </c>
      <c r="C34" s="95" t="n"/>
      <c r="D34" s="96" t="n">
        <v>2400</v>
      </c>
      <c r="E34" s="97" t="n"/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9" t="n"/>
      <c r="Q34" s="98">
        <f>SUM(D34:O34)</f>
        <v/>
      </c>
      <c r="R34" s="139" t="n"/>
      <c r="S34" s="54" t="n"/>
      <c r="T34" s="54" t="n"/>
      <c r="U34" s="54" t="n"/>
      <c r="V34" s="54" t="n"/>
      <c r="W34" s="139" t="n"/>
      <c r="X34" s="139" t="n"/>
      <c r="Y34" s="139" t="n"/>
      <c r="Z34" s="139" t="n"/>
    </row>
    <row r="35" ht="19.5" customHeight="1" s="150">
      <c r="A35" s="3" t="n"/>
      <c r="B35" s="31" t="inlineStr">
        <is>
          <t>Deposit</t>
        </is>
      </c>
      <c r="C35" s="27" t="n"/>
      <c r="D35" s="33" t="n">
        <v>0</v>
      </c>
      <c r="E35" s="33" t="n"/>
      <c r="F35" s="33" t="n">
        <v>0</v>
      </c>
      <c r="G35" s="33" t="n">
        <v>0</v>
      </c>
      <c r="H35" s="33" t="n">
        <v>0</v>
      </c>
      <c r="I35" s="33" t="n">
        <v>0</v>
      </c>
      <c r="J35" s="102" t="n">
        <v>3500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4" t="n"/>
      <c r="Q35" s="33" t="n"/>
      <c r="S35" s="3" t="n"/>
      <c r="T35" s="3" t="n"/>
      <c r="U35" s="3" t="n"/>
      <c r="V35" s="3" t="n"/>
    </row>
    <row r="36" ht="19.5" customHeight="1" s="150">
      <c r="A36" s="3" t="n"/>
      <c r="B36" s="31" t="inlineStr">
        <is>
          <t>Other</t>
        </is>
      </c>
      <c r="C36" s="27" t="n"/>
      <c r="D36" s="33" t="n">
        <v>0</v>
      </c>
      <c r="E36" s="33" t="n"/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0</v>
      </c>
      <c r="P36" s="34" t="n"/>
      <c r="Q36" s="33">
        <f>SUM(D36:O36)</f>
        <v/>
      </c>
      <c r="S36" s="3" t="n"/>
      <c r="T36" s="3" t="n"/>
      <c r="U36" s="3" t="n"/>
      <c r="V36" s="3" t="n"/>
    </row>
    <row r="37" ht="19.5" customHeight="1" s="150">
      <c r="A37" s="78" t="n"/>
      <c r="B37" s="16" t="inlineStr">
        <is>
          <t>TOTAL REDUCTIONS</t>
        </is>
      </c>
      <c r="C37" s="17" t="n"/>
      <c r="D37" s="18">
        <f>SUM(D32:D36)</f>
        <v/>
      </c>
      <c r="E37" s="18">
        <f>SUM(E32:E36)</f>
        <v/>
      </c>
      <c r="F37" s="18">
        <f>SUM(F32:F36)</f>
        <v/>
      </c>
      <c r="G37" s="18">
        <f>SUM(G32:G36)</f>
        <v/>
      </c>
      <c r="H37" s="18">
        <f>SUM(H32:H36)</f>
        <v/>
      </c>
      <c r="I37" s="18">
        <f>SUM(I32:I36)</f>
        <v/>
      </c>
      <c r="J37" s="103">
        <f>SUM(J32:J36)</f>
        <v/>
      </c>
      <c r="K37" s="18">
        <f>SUM(K32:K36)</f>
        <v/>
      </c>
      <c r="L37" s="18">
        <f>SUM(L32:L36)</f>
        <v/>
      </c>
      <c r="M37" s="18">
        <f>SUM(M32:M36)</f>
        <v/>
      </c>
      <c r="N37" s="18">
        <f>SUM(N32:N36)</f>
        <v/>
      </c>
      <c r="O37" s="18">
        <f>SUM(O32:O36)</f>
        <v/>
      </c>
      <c r="P37" s="19" t="n"/>
      <c r="Q37" s="18">
        <f>SUM(Q32:Q36)</f>
        <v/>
      </c>
      <c r="S37" s="78" t="n"/>
      <c r="T37" s="78" t="n"/>
      <c r="U37" s="78" t="n"/>
      <c r="V37" s="78" t="n"/>
    </row>
    <row r="38" ht="19.5" customHeight="1" s="150">
      <c r="A38" s="78" t="n"/>
      <c r="B38" s="78" t="n"/>
      <c r="C38" s="19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19" t="n"/>
      <c r="Q38" s="78" t="n"/>
      <c r="S38" s="78" t="n"/>
      <c r="T38" s="78" t="n"/>
      <c r="U38" s="78" t="n"/>
      <c r="V38" s="78" t="n"/>
    </row>
    <row r="39" ht="19.5" customHeight="1" s="150">
      <c r="A39" s="78" t="n"/>
      <c r="B39" s="16" t="inlineStr">
        <is>
          <t>NET PROFIT</t>
        </is>
      </c>
      <c r="C39" s="17" t="n"/>
      <c r="D39" s="18">
        <f>D19-D27-D37</f>
        <v/>
      </c>
      <c r="E39" s="18">
        <f>E19-E27-E37</f>
        <v/>
      </c>
      <c r="F39" s="18">
        <f>F19-F27-F37</f>
        <v/>
      </c>
      <c r="G39" s="18">
        <f>G19-G27-G37</f>
        <v/>
      </c>
      <c r="H39" s="18">
        <f>H19-H27-H37</f>
        <v/>
      </c>
      <c r="I39" s="18">
        <f>I19-I27-I37</f>
        <v/>
      </c>
      <c r="J39" s="18">
        <f>J19-J27-J37</f>
        <v/>
      </c>
      <c r="K39" s="18">
        <f>K19-K27-K37</f>
        <v/>
      </c>
      <c r="L39" s="18">
        <f>L19-L27-L37</f>
        <v/>
      </c>
      <c r="M39" s="18">
        <f>M19-M27-M37</f>
        <v/>
      </c>
      <c r="N39" s="18">
        <f>N19-N27-N37</f>
        <v/>
      </c>
      <c r="O39" s="18">
        <f>O19-O27-O37</f>
        <v/>
      </c>
      <c r="P39" s="19" t="n"/>
      <c r="Q39" s="18">
        <f>Q19-Q27-Q37</f>
        <v/>
      </c>
      <c r="S39" s="78" t="n"/>
      <c r="T39" s="78" t="n"/>
      <c r="U39" s="78" t="n"/>
      <c r="V39" s="78" t="n"/>
    </row>
    <row r="40" ht="19.5" customHeight="1" s="150">
      <c r="A40" s="78" t="n"/>
      <c r="B40" s="12" t="n"/>
      <c r="C40" s="1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9" t="n"/>
      <c r="Q40" s="13" t="n"/>
      <c r="S40" s="78" t="n"/>
      <c r="T40" s="78" t="n"/>
      <c r="U40" s="78" t="n"/>
      <c r="V40" s="78" t="n"/>
    </row>
    <row r="41" ht="31.5" customHeight="1" s="150">
      <c r="A41" s="78" t="n"/>
      <c r="B41" s="24" t="inlineStr">
        <is>
          <t>EXPENSES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8" t="n"/>
      <c r="P41" s="19" t="n"/>
      <c r="Q41" s="39" t="n"/>
      <c r="S41" s="78" t="n"/>
      <c r="T41" s="78" t="n"/>
      <c r="U41" s="78" t="n"/>
      <c r="V41" s="78" t="n"/>
    </row>
    <row r="42" hidden="1" ht="19.5" customHeight="1" s="150">
      <c r="A42" s="78" t="n"/>
      <c r="B42" s="40" t="inlineStr">
        <is>
          <t>EMPLOYEE AND LABOR</t>
        </is>
      </c>
      <c r="C42" s="25" t="inlineStr">
        <is>
          <t>TREND</t>
        </is>
      </c>
      <c r="D42" s="41" t="inlineStr">
        <is>
          <t>JANUARY</t>
        </is>
      </c>
      <c r="E42" s="41" t="inlineStr">
        <is>
          <t>FEBRUARY</t>
        </is>
      </c>
      <c r="F42" s="41" t="inlineStr">
        <is>
          <t>MARCH</t>
        </is>
      </c>
      <c r="G42" s="41" t="inlineStr">
        <is>
          <t>APRIL</t>
        </is>
      </c>
      <c r="H42" s="41" t="inlineStr">
        <is>
          <t>MAY</t>
        </is>
      </c>
      <c r="I42" s="41" t="inlineStr">
        <is>
          <t>JUNE</t>
        </is>
      </c>
      <c r="J42" s="41" t="inlineStr">
        <is>
          <t>JULY</t>
        </is>
      </c>
      <c r="K42" s="41" t="inlineStr">
        <is>
          <t>AUGUST</t>
        </is>
      </c>
      <c r="L42" s="41" t="inlineStr">
        <is>
          <t>SEPTEMBER</t>
        </is>
      </c>
      <c r="M42" s="41" t="inlineStr">
        <is>
          <t>OCTOBER</t>
        </is>
      </c>
      <c r="N42" s="41" t="inlineStr">
        <is>
          <t>NOVEMBER</t>
        </is>
      </c>
      <c r="O42" s="41" t="inlineStr">
        <is>
          <t>DECEMBER</t>
        </is>
      </c>
      <c r="P42" s="19" t="n"/>
      <c r="Q42" s="25" t="inlineStr">
        <is>
          <t>YTD</t>
        </is>
      </c>
      <c r="S42" s="78" t="n"/>
      <c r="T42" s="78" t="n"/>
      <c r="U42" s="78" t="n"/>
      <c r="V42" s="78" t="n"/>
    </row>
    <row r="43" hidden="1" ht="19.5" customHeight="1" s="150">
      <c r="A43" s="78" t="n"/>
      <c r="B43" s="31" t="inlineStr">
        <is>
          <t>Salaries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42" t="n"/>
      <c r="Q43" s="29">
        <f>SUM(D43:O43)</f>
        <v/>
      </c>
      <c r="R43" s="78" t="n"/>
      <c r="S43" s="78" t="n"/>
      <c r="T43" s="78" t="n"/>
      <c r="U43" s="78" t="n"/>
      <c r="V43" s="78" t="n"/>
      <c r="W43" s="78" t="n"/>
      <c r="X43" s="78" t="n"/>
    </row>
    <row r="44" hidden="1" ht="19.5" customHeight="1" s="150">
      <c r="A44" s="43" t="n"/>
      <c r="B44" s="31" t="inlineStr">
        <is>
          <t>Wages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19" t="n"/>
      <c r="Q44" s="29">
        <f>SUM(D44:O44)</f>
        <v/>
      </c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 hidden="1" ht="19.5" customHeight="1" s="150">
      <c r="A45" s="78" t="n"/>
      <c r="B45" s="31" t="inlineStr">
        <is>
          <t>Benefits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42" t="n"/>
      <c r="Q45" s="29">
        <f>SUM(D45:O45)</f>
        <v/>
      </c>
      <c r="R45" s="78" t="n"/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Pension/Retirement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Commissions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19" t="n"/>
      <c r="Q47" s="29">
        <f>SUM(D47:O47)</f>
        <v/>
      </c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78" t="n"/>
      <c r="B48" s="31" t="inlineStr">
        <is>
          <t>Workers Comp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42" t="n"/>
      <c r="Q48" s="29">
        <f>SUM(D48:O48)</f>
        <v/>
      </c>
      <c r="R48" s="78" t="n"/>
      <c r="S48" s="78" t="n"/>
      <c r="T48" s="78" t="n"/>
      <c r="U48" s="78" t="n"/>
      <c r="V48" s="78" t="n"/>
      <c r="W48" s="78" t="n"/>
      <c r="X48" s="78" t="n"/>
    </row>
    <row r="49" hidden="1" ht="19.5" customHeight="1" s="150">
      <c r="A49" s="43" t="n"/>
      <c r="B49" s="31" t="inlineStr">
        <is>
          <t>Contract Labor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19" t="n"/>
      <c r="Q49" s="29">
        <f>SUM(D49:O49)</f>
        <v/>
      </c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 hidden="1" ht="19.5" customHeight="1" s="150">
      <c r="A50" s="78" t="n"/>
      <c r="B50" s="31" t="inlineStr">
        <is>
          <t>Training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42" t="n"/>
      <c r="Q50" s="29">
        <f>SUM(D50:O50)</f>
        <v/>
      </c>
      <c r="R50" s="78" t="n"/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31" t="inlineStr">
        <is>
          <t>Other</t>
        </is>
      </c>
      <c r="C51" s="27" t="n"/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19" t="n"/>
      <c r="Q51" s="29">
        <f>SUM(D51:O51)</f>
        <v/>
      </c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16" t="inlineStr">
        <is>
          <t>TOTAL EMPLOYEE AND LABOR EXPENSE</t>
        </is>
      </c>
      <c r="C52" s="17" t="n"/>
      <c r="D52" s="18">
        <f>SUM(D43:D51)</f>
        <v/>
      </c>
      <c r="E52" s="18">
        <f>SUM(E43:E51)</f>
        <v/>
      </c>
      <c r="F52" s="18">
        <f>SUM(F43:F51)</f>
        <v/>
      </c>
      <c r="G52" s="18">
        <f>SUM(G43:G51)</f>
        <v/>
      </c>
      <c r="H52" s="18">
        <f>SUM(H43:H51)</f>
        <v/>
      </c>
      <c r="I52" s="18">
        <f>SUM(I43:I51)</f>
        <v/>
      </c>
      <c r="J52" s="18">
        <f>SUM(J43:J51)</f>
        <v/>
      </c>
      <c r="K52" s="18">
        <f>SUM(K43:K51)</f>
        <v/>
      </c>
      <c r="L52" s="18">
        <f>SUM(L43:L51)</f>
        <v/>
      </c>
      <c r="M52" s="18">
        <f>SUM(M43:M51)</f>
        <v/>
      </c>
      <c r="N52" s="18">
        <f>SUM(N43:N51)</f>
        <v/>
      </c>
      <c r="O52" s="18">
        <f>SUM(O43:O51)</f>
        <v/>
      </c>
      <c r="P52" s="42" t="n"/>
      <c r="Q52" s="18">
        <f>SUM(Q43:Q51)</f>
        <v/>
      </c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4" t="n"/>
      <c r="C53" s="78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78" t="n"/>
      <c r="Q53" s="44" t="n"/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45" t="inlineStr">
        <is>
          <t>PROFESSIONAL SERVICES</t>
        </is>
      </c>
      <c r="C54" s="25" t="inlineStr">
        <is>
          <t>TREND</t>
        </is>
      </c>
      <c r="D54" s="25" t="inlineStr">
        <is>
          <t>JANUARY</t>
        </is>
      </c>
      <c r="E54" s="25" t="inlineStr">
        <is>
          <t>FEBRUARY</t>
        </is>
      </c>
      <c r="F54" s="25" t="inlineStr">
        <is>
          <t>MARCH</t>
        </is>
      </c>
      <c r="G54" s="25" t="inlineStr">
        <is>
          <t>APRIL</t>
        </is>
      </c>
      <c r="H54" s="25" t="inlineStr">
        <is>
          <t>MAY</t>
        </is>
      </c>
      <c r="I54" s="25" t="inlineStr">
        <is>
          <t>JUNE</t>
        </is>
      </c>
      <c r="J54" s="25" t="inlineStr">
        <is>
          <t>JULY</t>
        </is>
      </c>
      <c r="K54" s="25" t="inlineStr">
        <is>
          <t>AUGUST</t>
        </is>
      </c>
      <c r="L54" s="25" t="inlineStr">
        <is>
          <t>SEPTEMBER</t>
        </is>
      </c>
      <c r="M54" s="25" t="inlineStr">
        <is>
          <t>OCTOBER</t>
        </is>
      </c>
      <c r="N54" s="25" t="inlineStr">
        <is>
          <t>NOVEMBER</t>
        </is>
      </c>
      <c r="O54" s="25" t="inlineStr">
        <is>
          <t>DECEMBER</t>
        </is>
      </c>
      <c r="P54" s="78" t="n"/>
      <c r="Q54" s="25" t="inlineStr">
        <is>
          <t>YTD</t>
        </is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Outside Services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Accounting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Legal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31" t="inlineStr">
        <is>
          <t>Other</t>
        </is>
      </c>
      <c r="C59" s="27" t="n"/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78" t="n"/>
      <c r="Q59" s="29">
        <f>SUM(D59:O59)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16" t="inlineStr">
        <is>
          <t>TOTAL PROFESSIONAL SERVICES</t>
        </is>
      </c>
      <c r="C60" s="17" t="n"/>
      <c r="D60" s="18">
        <f>SUM(D55:D59)</f>
        <v/>
      </c>
      <c r="E60" s="18">
        <f>SUM(E55:E59)</f>
        <v/>
      </c>
      <c r="F60" s="18">
        <f>SUM(F55:F59)</f>
        <v/>
      </c>
      <c r="G60" s="18">
        <f>SUM(G55:G59)</f>
        <v/>
      </c>
      <c r="H60" s="18">
        <f>SUM(H55:H59)</f>
        <v/>
      </c>
      <c r="I60" s="18">
        <f>SUM(I55:I59)</f>
        <v/>
      </c>
      <c r="J60" s="18">
        <f>SUM(J55:J59)</f>
        <v/>
      </c>
      <c r="K60" s="18">
        <f>SUM(K55:K59)</f>
        <v/>
      </c>
      <c r="L60" s="18">
        <f>SUM(L55:L59)</f>
        <v/>
      </c>
      <c r="M60" s="18">
        <f>SUM(M55:M59)</f>
        <v/>
      </c>
      <c r="N60" s="18">
        <f>SUM(N55:N59)</f>
        <v/>
      </c>
      <c r="O60" s="18">
        <f>SUM(O55:O59)</f>
        <v/>
      </c>
      <c r="P60" s="78" t="n"/>
      <c r="Q60" s="18">
        <f>SUM(Q55:Q59)</f>
        <v/>
      </c>
      <c r="R60" s="78" t="n"/>
      <c r="S60" s="78" t="n"/>
      <c r="T60" s="78" t="n"/>
      <c r="U60" s="78" t="n"/>
      <c r="V60" s="78" t="n"/>
      <c r="W60" s="78" t="n"/>
      <c r="X60" s="78" t="n"/>
    </row>
    <row r="61" ht="19.5" customHeight="1" s="150">
      <c r="A61" s="78" t="n"/>
      <c r="B61" s="44" t="n"/>
      <c r="C61" s="78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78" t="n"/>
      <c r="Q61" s="44" t="n"/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46" t="inlineStr">
        <is>
          <t>BANKING AND FINANCE</t>
        </is>
      </c>
      <c r="C62" s="25" t="inlineStr">
        <is>
          <t>TREND</t>
        </is>
      </c>
      <c r="D62" s="25" t="inlineStr">
        <is>
          <t>JANUARY</t>
        </is>
      </c>
      <c r="E62" s="25" t="inlineStr">
        <is>
          <t>FEBRUARY</t>
        </is>
      </c>
      <c r="F62" s="25" t="inlineStr">
        <is>
          <t>MARCH</t>
        </is>
      </c>
      <c r="G62" s="25" t="inlineStr">
        <is>
          <t>APRIL</t>
        </is>
      </c>
      <c r="H62" s="25" t="inlineStr">
        <is>
          <t>MAY</t>
        </is>
      </c>
      <c r="I62" s="25" t="inlineStr">
        <is>
          <t>JUNE</t>
        </is>
      </c>
      <c r="J62" s="25" t="inlineStr">
        <is>
          <t>JULY</t>
        </is>
      </c>
      <c r="K62" s="25" t="inlineStr">
        <is>
          <t>AUGUST</t>
        </is>
      </c>
      <c r="L62" s="25" t="inlineStr">
        <is>
          <t>SEPTEMBER</t>
        </is>
      </c>
      <c r="M62" s="25" t="inlineStr">
        <is>
          <t>OCTOBER</t>
        </is>
      </c>
      <c r="N62" s="25" t="inlineStr">
        <is>
          <t>NOVEMBER</t>
        </is>
      </c>
      <c r="O62" s="25" t="inlineStr">
        <is>
          <t>DECEMBER</t>
        </is>
      </c>
      <c r="P62" s="78" t="n"/>
      <c r="Q62" s="25" t="inlineStr">
        <is>
          <t>YTD</t>
        </is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Debt (Payment Plan)  (Submitted Form 843 -$6700 / Next Interest)</t>
        </is>
      </c>
      <c r="C63" s="27" t="n"/>
      <c r="D63" s="29" t="n">
        <v>1345</v>
      </c>
      <c r="E63" s="29" t="n">
        <v>1345</v>
      </c>
      <c r="F63" s="29" t="n">
        <v>1345</v>
      </c>
      <c r="G63" s="29" t="n">
        <v>1345</v>
      </c>
      <c r="H63" s="29" t="n">
        <v>1580</v>
      </c>
      <c r="I63" s="29" t="n">
        <v>1580</v>
      </c>
      <c r="J63" s="29" t="n">
        <v>1580</v>
      </c>
      <c r="K63" s="29" t="n">
        <v>1580</v>
      </c>
      <c r="L63" s="29" t="n">
        <v>1580</v>
      </c>
      <c r="M63" s="29" t="n">
        <v>1580</v>
      </c>
      <c r="N63" s="29" t="n">
        <v>1580</v>
      </c>
      <c r="O63" s="29" t="n">
        <v>1580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IRS Interest</t>
        </is>
      </c>
      <c r="C64" s="27" t="n"/>
      <c r="D64" s="29" t="n">
        <v>435</v>
      </c>
      <c r="E64" s="29" t="n">
        <v>435</v>
      </c>
      <c r="F64" s="29" t="n">
        <v>435</v>
      </c>
      <c r="G64" s="29" t="n">
        <v>435</v>
      </c>
      <c r="H64" s="29" t="n">
        <v>200</v>
      </c>
      <c r="I64" s="29" t="n">
        <v>200</v>
      </c>
      <c r="J64" s="29" t="n">
        <v>200</v>
      </c>
      <c r="K64" s="29" t="n">
        <v>200</v>
      </c>
      <c r="L64" s="29" t="n">
        <v>200</v>
      </c>
      <c r="M64" s="29" t="n">
        <v>200</v>
      </c>
      <c r="N64" s="29" t="n">
        <v>200</v>
      </c>
      <c r="O64" s="29" t="n">
        <v>200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Loans (Collections) (Payment on 30th Each Month)</t>
        </is>
      </c>
      <c r="C65" s="27" t="n"/>
      <c r="D65" s="29" t="n">
        <v>400</v>
      </c>
      <c r="E65" s="29" t="n">
        <v>400</v>
      </c>
      <c r="F65" s="29" t="n">
        <v>400</v>
      </c>
      <c r="G65" s="29" t="n">
        <v>400</v>
      </c>
      <c r="H65" s="29" t="n">
        <v>400</v>
      </c>
      <c r="I65" s="29" t="n">
        <v>400</v>
      </c>
      <c r="J65" s="102" t="n">
        <v>6300</v>
      </c>
      <c r="K65" s="29" t="n">
        <v>0</v>
      </c>
      <c r="L65" s="29" t="n">
        <v>0</v>
      </c>
      <c r="M65" s="29" t="n">
        <v>0</v>
      </c>
      <c r="N65" s="29" t="n">
        <v>0</v>
      </c>
      <c r="O65" s="29" t="n">
        <v>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Orion 59 (Collections) (Payment on 30th Each Month)</t>
        </is>
      </c>
      <c r="C66" s="27" t="n"/>
      <c r="D66" s="29" t="n">
        <v>200</v>
      </c>
      <c r="E66" s="29" t="n">
        <v>200</v>
      </c>
      <c r="F66" s="29" t="n">
        <v>1800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31" t="inlineStr">
        <is>
          <t>Other ($3000)</t>
        </is>
      </c>
      <c r="C67" s="27" t="n"/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78" t="n"/>
      <c r="Q67" s="29">
        <f>SUM(D67:O67)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16" t="inlineStr">
        <is>
          <t>TOTAL BANKING AND FINANCE</t>
        </is>
      </c>
      <c r="C68" s="17" t="n"/>
      <c r="D68" s="18">
        <f>SUM(D63:D67)</f>
        <v/>
      </c>
      <c r="E68" s="18">
        <f>SUM(E63:E67)</f>
        <v/>
      </c>
      <c r="F68" s="18">
        <f>SUM(F63:F67)</f>
        <v/>
      </c>
      <c r="G68" s="18">
        <f>SUM(G63:G67)</f>
        <v/>
      </c>
      <c r="H68" s="18">
        <f>SUM(H63:H67)</f>
        <v/>
      </c>
      <c r="I68" s="18">
        <f>SUM(I63:I67)</f>
        <v/>
      </c>
      <c r="J68" s="103">
        <f>SUM(J63:J67)</f>
        <v/>
      </c>
      <c r="K68" s="18">
        <f>SUM(K63:K67)</f>
        <v/>
      </c>
      <c r="L68" s="18">
        <f>SUM(L63:L67)</f>
        <v/>
      </c>
      <c r="M68" s="18">
        <f>SUM(M63:M67)</f>
        <v/>
      </c>
      <c r="N68" s="18">
        <f>SUM(N63:N67)</f>
        <v/>
      </c>
      <c r="O68" s="18">
        <f>SUM(O63:O67)</f>
        <v/>
      </c>
      <c r="P68" s="78" t="n"/>
      <c r="Q68" s="18">
        <f>SUM(Q63:Q67)</f>
        <v/>
      </c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7" t="n"/>
      <c r="C69" s="48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78" t="n"/>
      <c r="Q69" s="44" t="n"/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45" t="inlineStr">
        <is>
          <t>GENERAL BUSINESS</t>
        </is>
      </c>
      <c r="C70" s="25" t="inlineStr">
        <is>
          <t>TREND</t>
        </is>
      </c>
      <c r="D70" s="25" t="inlineStr">
        <is>
          <t>JANUARY</t>
        </is>
      </c>
      <c r="E70" s="25" t="inlineStr">
        <is>
          <t>FEBRUARY</t>
        </is>
      </c>
      <c r="F70" s="25" t="inlineStr">
        <is>
          <t>MARCH</t>
        </is>
      </c>
      <c r="G70" s="25" t="inlineStr">
        <is>
          <t>APRIL</t>
        </is>
      </c>
      <c r="H70" s="25" t="inlineStr">
        <is>
          <t>MAY</t>
        </is>
      </c>
      <c r="I70" s="25" t="inlineStr">
        <is>
          <t>JUNE</t>
        </is>
      </c>
      <c r="J70" s="25" t="inlineStr">
        <is>
          <t>JULY</t>
        </is>
      </c>
      <c r="K70" s="25" t="inlineStr">
        <is>
          <t>AUGUST</t>
        </is>
      </c>
      <c r="L70" s="25" t="inlineStr">
        <is>
          <t>SEPTEMBER</t>
        </is>
      </c>
      <c r="M70" s="25" t="inlineStr">
        <is>
          <t>OCTOBER</t>
        </is>
      </c>
      <c r="N70" s="25" t="inlineStr">
        <is>
          <t>NOVEMBER</t>
        </is>
      </c>
      <c r="O70" s="25" t="inlineStr">
        <is>
          <t>DECEMBER</t>
        </is>
      </c>
      <c r="P70" s="78" t="n"/>
      <c r="Q70" s="25" t="inlineStr">
        <is>
          <t>YTD</t>
        </is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 xml:space="preserve">Rent and Mortgage </t>
        </is>
      </c>
      <c r="C71" s="27" t="n"/>
      <c r="D71" s="29" t="n">
        <v>375</v>
      </c>
      <c r="E71" s="29" t="n">
        <v>375</v>
      </c>
      <c r="F71" s="29" t="n">
        <v>375</v>
      </c>
      <c r="G71" s="29" t="n">
        <v>375</v>
      </c>
      <c r="H71" s="29" t="n">
        <v>0</v>
      </c>
      <c r="I71" s="29" t="n">
        <v>2500</v>
      </c>
      <c r="J71" s="29" t="n">
        <v>1500</v>
      </c>
      <c r="K71" s="29" t="n">
        <v>3500</v>
      </c>
      <c r="L71" s="29" t="n">
        <v>3500</v>
      </c>
      <c r="M71" s="29" t="n">
        <v>3500</v>
      </c>
      <c r="N71" s="29" t="n">
        <v>3500</v>
      </c>
      <c r="O71" s="29" t="n">
        <v>3500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Health Insurance</t>
        </is>
      </c>
      <c r="C72" s="27" t="n"/>
      <c r="D72" s="29" t="n">
        <v>20</v>
      </c>
      <c r="E72" s="29" t="n">
        <v>20</v>
      </c>
      <c r="F72" s="29" t="n">
        <v>20</v>
      </c>
      <c r="G72" s="29" t="n">
        <v>20</v>
      </c>
      <c r="H72" s="29" t="n">
        <v>20</v>
      </c>
      <c r="I72" s="29" t="n">
        <v>20</v>
      </c>
      <c r="J72" s="29" t="n">
        <v>400</v>
      </c>
      <c r="K72" s="29" t="n">
        <v>400</v>
      </c>
      <c r="L72" s="29" t="n">
        <v>400</v>
      </c>
      <c r="M72" s="29" t="n">
        <v>400</v>
      </c>
      <c r="N72" s="29" t="n">
        <v>400</v>
      </c>
      <c r="O72" s="29" t="n">
        <v>400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Life Insurance</t>
        </is>
      </c>
      <c r="C73" s="27" t="n"/>
      <c r="D73" s="29" t="n">
        <v>12.5</v>
      </c>
      <c r="E73" s="29" t="n">
        <v>12.5</v>
      </c>
      <c r="F73" s="29" t="n">
        <v>12.5</v>
      </c>
      <c r="G73" s="29" t="n">
        <v>12.5</v>
      </c>
      <c r="H73" s="29" t="n">
        <v>12.5</v>
      </c>
      <c r="I73" s="29" t="n">
        <v>12.5</v>
      </c>
      <c r="J73" s="29" t="n">
        <v>12.5</v>
      </c>
      <c r="K73" s="29" t="n">
        <v>12.5</v>
      </c>
      <c r="L73" s="29" t="n">
        <v>12.5</v>
      </c>
      <c r="M73" s="29" t="n">
        <v>12.5</v>
      </c>
      <c r="N73" s="29" t="n">
        <v>12.5</v>
      </c>
      <c r="O73" s="29" t="n">
        <v>12.5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Utilities</t>
        </is>
      </c>
      <c r="C74" s="27" t="n"/>
      <c r="D74" s="29" t="n">
        <v>0</v>
      </c>
      <c r="E74" s="29" t="n">
        <v>100</v>
      </c>
      <c r="F74" s="29" t="n">
        <v>100</v>
      </c>
      <c r="G74" s="29" t="n">
        <v>100</v>
      </c>
      <c r="H74" s="29" t="n">
        <v>100</v>
      </c>
      <c r="I74" s="29" t="n">
        <v>100</v>
      </c>
      <c r="J74" s="29" t="n">
        <v>100</v>
      </c>
      <c r="K74" s="29" t="n">
        <v>100</v>
      </c>
      <c r="L74" s="29" t="n">
        <v>100</v>
      </c>
      <c r="M74" s="29" t="n">
        <v>100</v>
      </c>
      <c r="N74" s="29" t="n">
        <v>100</v>
      </c>
      <c r="O74" s="29" t="n">
        <v>100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Telecommunication</t>
        </is>
      </c>
      <c r="C75" s="27" t="n"/>
      <c r="D75" s="29" t="n">
        <v>125</v>
      </c>
      <c r="E75" s="29" t="n">
        <v>150</v>
      </c>
      <c r="F75" s="29" t="n">
        <v>250</v>
      </c>
      <c r="G75" s="29" t="n">
        <v>80</v>
      </c>
      <c r="H75" s="29" t="n">
        <v>80</v>
      </c>
      <c r="I75" s="29" t="n">
        <v>80</v>
      </c>
      <c r="J75" s="29" t="n">
        <v>120</v>
      </c>
      <c r="K75" s="29" t="n">
        <v>120</v>
      </c>
      <c r="L75" s="29" t="n">
        <v>120</v>
      </c>
      <c r="M75" s="29" t="n">
        <v>120</v>
      </c>
      <c r="N75" s="29" t="n">
        <v>120</v>
      </c>
      <c r="O75" s="29" t="n">
        <v>120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Web Hosting</t>
        </is>
      </c>
      <c r="C76" s="27" t="n"/>
      <c r="D76" s="29" t="n">
        <v>50</v>
      </c>
      <c r="E76" s="29" t="n">
        <v>50</v>
      </c>
      <c r="F76" s="29" t="n">
        <v>50</v>
      </c>
      <c r="G76" s="29" t="n">
        <v>50</v>
      </c>
      <c r="H76" s="29" t="n">
        <v>50</v>
      </c>
      <c r="I76" s="29" t="n">
        <v>50</v>
      </c>
      <c r="J76" s="29" t="n">
        <v>50</v>
      </c>
      <c r="K76" s="29" t="n">
        <v>50</v>
      </c>
      <c r="L76" s="29" t="n">
        <v>50</v>
      </c>
      <c r="M76" s="29" t="n">
        <v>50</v>
      </c>
      <c r="N76" s="29" t="n">
        <v>50</v>
      </c>
      <c r="O76" s="29" t="n">
        <v>50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Subscriptions</t>
        </is>
      </c>
      <c r="C77" s="27" t="n"/>
      <c r="D77" s="29" t="n">
        <v>20</v>
      </c>
      <c r="E77" s="29" t="n">
        <v>200</v>
      </c>
      <c r="F77" s="29" t="n">
        <v>60</v>
      </c>
      <c r="G77" s="29" t="n">
        <v>60</v>
      </c>
      <c r="H77" s="29" t="n">
        <v>60</v>
      </c>
      <c r="I77" s="29" t="n">
        <v>60</v>
      </c>
      <c r="J77" s="29" t="n">
        <v>60</v>
      </c>
      <c r="K77" s="29" t="n">
        <v>60</v>
      </c>
      <c r="L77" s="29" t="n">
        <v>60</v>
      </c>
      <c r="M77" s="29" t="n">
        <v>60</v>
      </c>
      <c r="N77" s="29" t="n">
        <v>60</v>
      </c>
      <c r="O77" s="29" t="n">
        <v>60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Travel</t>
        </is>
      </c>
      <c r="C78" s="27" t="n"/>
      <c r="D78" s="29" t="n">
        <v>750</v>
      </c>
      <c r="E78" s="29" t="n">
        <v>0</v>
      </c>
      <c r="F78" s="29" t="n">
        <v>0</v>
      </c>
      <c r="G78" s="29" t="n">
        <v>250</v>
      </c>
      <c r="H78" s="29" t="n">
        <v>0</v>
      </c>
      <c r="I78" s="29" t="n">
        <v>0</v>
      </c>
      <c r="J78" s="29" t="n">
        <v>150</v>
      </c>
      <c r="K78" s="29" t="n">
        <v>150</v>
      </c>
      <c r="L78" s="29" t="n">
        <v>150</v>
      </c>
      <c r="M78" s="29" t="n">
        <v>150</v>
      </c>
      <c r="N78" s="29" t="n">
        <v>150</v>
      </c>
      <c r="O78" s="29" t="n">
        <v>750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Meals</t>
        </is>
      </c>
      <c r="C79" s="27" t="n"/>
      <c r="D79" s="29" t="n">
        <v>250</v>
      </c>
      <c r="E79" s="29" t="n">
        <v>600</v>
      </c>
      <c r="F79" s="29" t="n">
        <v>600</v>
      </c>
      <c r="G79" s="29" t="n">
        <v>600</v>
      </c>
      <c r="H79" s="29" t="n">
        <v>600</v>
      </c>
      <c r="I79" s="29" t="n">
        <v>600</v>
      </c>
      <c r="J79" s="29" t="n">
        <v>1200</v>
      </c>
      <c r="K79" s="29" t="n">
        <v>1200</v>
      </c>
      <c r="L79" s="29" t="n">
        <v>1200</v>
      </c>
      <c r="M79" s="29" t="n">
        <v>1200</v>
      </c>
      <c r="N79" s="29" t="n">
        <v>1200</v>
      </c>
      <c r="O79" s="29" t="n">
        <v>1200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Other</t>
        </is>
      </c>
      <c r="C80" s="27" t="n"/>
      <c r="D80" s="29">
        <f>25+25+400+75</f>
        <v/>
      </c>
      <c r="E80" s="29" t="n">
        <v>500</v>
      </c>
      <c r="F80" s="29" t="n">
        <v>250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16" t="inlineStr">
        <is>
          <t>TOTAL GENERAL BUSINESS</t>
        </is>
      </c>
      <c r="C81" s="17" t="n"/>
      <c r="D81" s="18">
        <f>SUM(D71:D80)</f>
        <v/>
      </c>
      <c r="E81" s="18">
        <f>SUM(E71:E80)</f>
        <v/>
      </c>
      <c r="F81" s="18">
        <f>SUM(F71:F80)</f>
        <v/>
      </c>
      <c r="G81" s="18">
        <f>SUM(G71:G80)</f>
        <v/>
      </c>
      <c r="H81" s="18">
        <f>SUM(H71:H80)</f>
        <v/>
      </c>
      <c r="I81" s="18">
        <f>SUM(I71:I80)</f>
        <v/>
      </c>
      <c r="J81" s="103">
        <f>SUM(J71:J80)</f>
        <v/>
      </c>
      <c r="K81" s="18">
        <f>SUM(K71:K80)</f>
        <v/>
      </c>
      <c r="L81" s="18">
        <f>SUM(L71:L80)</f>
        <v/>
      </c>
      <c r="M81" s="18">
        <f>SUM(M71:M80)</f>
        <v/>
      </c>
      <c r="N81" s="18">
        <f>SUM(N71:N80)</f>
        <v/>
      </c>
      <c r="O81" s="18">
        <f>SUM(O71:O80)</f>
        <v/>
      </c>
      <c r="P81" s="78" t="n"/>
      <c r="Q81" s="18">
        <f>SUM(Q71:Q80)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44" t="n"/>
      <c r="C82" s="78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78" t="n"/>
      <c r="Q82" s="44" t="n"/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5" t="inlineStr">
        <is>
          <t>VEHICLE EXPENSE</t>
        </is>
      </c>
      <c r="C83" s="25" t="inlineStr">
        <is>
          <t>TREND</t>
        </is>
      </c>
      <c r="D83" s="25" t="inlineStr">
        <is>
          <t>JANUARY</t>
        </is>
      </c>
      <c r="E83" s="25" t="inlineStr">
        <is>
          <t>FEBRUARY</t>
        </is>
      </c>
      <c r="F83" s="25" t="inlineStr">
        <is>
          <t>MARCH</t>
        </is>
      </c>
      <c r="G83" s="25" t="inlineStr">
        <is>
          <t>APRIL</t>
        </is>
      </c>
      <c r="H83" s="25" t="inlineStr">
        <is>
          <t>MAY</t>
        </is>
      </c>
      <c r="I83" s="25" t="inlineStr">
        <is>
          <t>JUNE</t>
        </is>
      </c>
      <c r="J83" s="25" t="inlineStr">
        <is>
          <t>JULY</t>
        </is>
      </c>
      <c r="K83" s="25" t="inlineStr">
        <is>
          <t>AUGUST</t>
        </is>
      </c>
      <c r="L83" s="25" t="inlineStr">
        <is>
          <t>SEPTEMBER</t>
        </is>
      </c>
      <c r="M83" s="25" t="inlineStr">
        <is>
          <t>OCTOBER</t>
        </is>
      </c>
      <c r="N83" s="25" t="inlineStr">
        <is>
          <t>NOVEMBER</t>
        </is>
      </c>
      <c r="O83" s="25" t="inlineStr">
        <is>
          <t>DECEMBER</t>
        </is>
      </c>
      <c r="P83" s="78" t="n"/>
      <c r="Q83" s="25" t="inlineStr">
        <is>
          <t>YTD</t>
        </is>
      </c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31" t="inlineStr">
        <is>
          <t>Gas</t>
        </is>
      </c>
      <c r="C84" s="27" t="n"/>
      <c r="D84" s="29" t="n">
        <v>200</v>
      </c>
      <c r="E84" s="29" t="n">
        <v>200</v>
      </c>
      <c r="F84" s="29" t="n">
        <v>100</v>
      </c>
      <c r="G84" s="29" t="n">
        <v>100</v>
      </c>
      <c r="H84" s="29" t="n">
        <v>100</v>
      </c>
      <c r="I84" s="29" t="n">
        <v>100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78" t="n"/>
      <c r="Q84" s="29">
        <f>SUM(D84:O84)</f>
        <v/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Maintenance and Repairs</t>
        </is>
      </c>
      <c r="C85" s="27" t="n"/>
      <c r="D85" s="29" t="n">
        <v>0</v>
      </c>
      <c r="E85" s="29" t="n">
        <v>50</v>
      </c>
      <c r="F85" s="29" t="n">
        <v>50</v>
      </c>
      <c r="G85" s="29" t="n">
        <v>50</v>
      </c>
      <c r="H85" s="29" t="n">
        <v>50</v>
      </c>
      <c r="I85" s="29" t="n">
        <v>50</v>
      </c>
      <c r="J85" s="29" t="n">
        <v>0</v>
      </c>
      <c r="K85" s="29" t="n">
        <v>0</v>
      </c>
      <c r="L85" s="29" t="n">
        <v>0</v>
      </c>
      <c r="M85" s="29" t="n">
        <v>0</v>
      </c>
      <c r="N85" s="29" t="n">
        <v>0</v>
      </c>
      <c r="O85" s="29" t="n">
        <v>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Licensing</t>
        </is>
      </c>
      <c r="C86" s="27" t="n"/>
      <c r="D86" s="29" t="n">
        <v>10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Insurance</t>
        </is>
      </c>
      <c r="C87" s="27" t="n"/>
      <c r="D87" s="29" t="n">
        <v>50</v>
      </c>
      <c r="E87" s="29" t="n">
        <v>80</v>
      </c>
      <c r="F87" s="29" t="n">
        <v>80</v>
      </c>
      <c r="G87" s="29" t="n">
        <v>80</v>
      </c>
      <c r="H87" s="29" t="n">
        <v>80</v>
      </c>
      <c r="I87" s="29" t="n">
        <v>80</v>
      </c>
      <c r="J87" s="29" t="n">
        <v>80</v>
      </c>
      <c r="K87" s="29" t="n">
        <v>80</v>
      </c>
      <c r="L87" s="29" t="n">
        <v>80</v>
      </c>
      <c r="M87" s="29" t="n">
        <v>0</v>
      </c>
      <c r="N87" s="29" t="n">
        <v>0</v>
      </c>
      <c r="O87" s="29" t="n">
        <v>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Other</t>
        </is>
      </c>
      <c r="C88" s="27" t="n"/>
      <c r="D88" s="29" t="n"/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16" t="inlineStr">
        <is>
          <t>TOTAL VEHICLE EXPENSE</t>
        </is>
      </c>
      <c r="C89" s="17" t="n"/>
      <c r="D89" s="18">
        <f>SUM(D84:D88)</f>
        <v/>
      </c>
      <c r="E89" s="18">
        <f>SUM(E84:E88)</f>
        <v/>
      </c>
      <c r="F89" s="18">
        <f>SUM(F84:F88)</f>
        <v/>
      </c>
      <c r="G89" s="18">
        <f>SUM(G84:G88)</f>
        <v/>
      </c>
      <c r="H89" s="18">
        <f>SUM(H84:H88)</f>
        <v/>
      </c>
      <c r="I89" s="18">
        <f>SUM(I84:I88)</f>
        <v/>
      </c>
      <c r="J89" s="18">
        <f>SUM(J84:J88)</f>
        <v/>
      </c>
      <c r="K89" s="18">
        <f>SUM(K84:K88)</f>
        <v/>
      </c>
      <c r="L89" s="18">
        <f>SUM(L84:L88)</f>
        <v/>
      </c>
      <c r="M89" s="18">
        <f>SUM(M84:M88)</f>
        <v/>
      </c>
      <c r="N89" s="18">
        <f>SUM(N84:N88)</f>
        <v/>
      </c>
      <c r="O89" s="18">
        <f>SUM(O84:O88)</f>
        <v/>
      </c>
      <c r="P89" s="78" t="n"/>
      <c r="Q89" s="18">
        <f>SUM(Q84:Q88)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44" t="n"/>
      <c r="C90" s="78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78" t="n"/>
      <c r="Q90" s="44" t="n"/>
      <c r="R90" s="78" t="n"/>
      <c r="S90" s="78" t="n"/>
      <c r="T90" s="78" t="n"/>
      <c r="U90" s="78" t="n"/>
      <c r="V90" s="78" t="n"/>
      <c r="W90" s="78" t="n"/>
      <c r="X90" s="78" t="n"/>
    </row>
    <row r="91" ht="31.5" customHeight="1" s="150">
      <c r="A91" s="78" t="n"/>
      <c r="B91" s="49" t="inlineStr">
        <is>
          <t>TAXES</t>
        </is>
      </c>
      <c r="C91" s="25" t="inlineStr">
        <is>
          <t>TREND</t>
        </is>
      </c>
      <c r="D91" s="25" t="inlineStr">
        <is>
          <t>JANUARY</t>
        </is>
      </c>
      <c r="E91" s="25" t="inlineStr">
        <is>
          <t>FEBRUARY</t>
        </is>
      </c>
      <c r="F91" s="25" t="inlineStr">
        <is>
          <t>MARCH</t>
        </is>
      </c>
      <c r="G91" s="25" t="inlineStr">
        <is>
          <t>APRIL</t>
        </is>
      </c>
      <c r="H91" s="25" t="inlineStr">
        <is>
          <t>MAY</t>
        </is>
      </c>
      <c r="I91" s="25" t="inlineStr">
        <is>
          <t>JUNE</t>
        </is>
      </c>
      <c r="J91" s="25" t="inlineStr">
        <is>
          <t>JULY</t>
        </is>
      </c>
      <c r="K91" s="25" t="inlineStr">
        <is>
          <t>AUGUST</t>
        </is>
      </c>
      <c r="L91" s="25" t="inlineStr">
        <is>
          <t>SEPTEMBER</t>
        </is>
      </c>
      <c r="M91" s="25" t="inlineStr">
        <is>
          <t>OCTOBER</t>
        </is>
      </c>
      <c r="N91" s="25" t="inlineStr">
        <is>
          <t>NOVEMBER</t>
        </is>
      </c>
      <c r="O91" s="25" t="inlineStr">
        <is>
          <t>DECEMBER</t>
        </is>
      </c>
      <c r="P91" s="78" t="n"/>
      <c r="Q91" s="25" t="inlineStr">
        <is>
          <t>YTD</t>
        </is>
      </c>
      <c r="R91" s="78" t="n"/>
      <c r="S91" s="78" t="n"/>
      <c r="T91" s="78" t="n"/>
      <c r="U91" s="78" t="n"/>
      <c r="V91" s="78" t="n"/>
      <c r="W91" s="78" t="n"/>
      <c r="X91" s="78" t="n"/>
    </row>
    <row r="92" ht="19.5" customHeight="1" s="150">
      <c r="A92" s="36" t="n">
        <v>0.39</v>
      </c>
      <c r="B92" s="31" t="inlineStr">
        <is>
          <t>Income Tax</t>
        </is>
      </c>
      <c r="C92" s="27" t="n"/>
      <c r="D92" s="29">
        <f>1143+745+1143</f>
        <v/>
      </c>
      <c r="E92" s="29" t="n">
        <v>2600</v>
      </c>
      <c r="F92" s="29" t="n">
        <v>2600</v>
      </c>
      <c r="G92" s="29" t="n">
        <v>2600</v>
      </c>
      <c r="H92" s="29" t="n">
        <v>2600</v>
      </c>
      <c r="I92" s="29" t="n">
        <v>2600</v>
      </c>
      <c r="J92" s="29">
        <f>sum(J14,J15)*$A$92</f>
        <v/>
      </c>
      <c r="K92" s="29">
        <f>sum(K14,K15)*$A$92</f>
        <v/>
      </c>
      <c r="L92" s="29">
        <f>sum(L14,L15)*$A$92</f>
        <v/>
      </c>
      <c r="M92" s="29">
        <f>sum(M14,M15)*$A$92</f>
        <v/>
      </c>
      <c r="N92" s="29">
        <f>sum(N14,N15)*$A$92</f>
        <v/>
      </c>
      <c r="O92" s="29">
        <f>sum(O14,O15)*$A$92</f>
        <v/>
      </c>
      <c r="P92" s="78" t="n"/>
      <c r="Q92" s="29">
        <f>SUM(D92:O92)</f>
        <v/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78" t="n"/>
      <c r="B93" s="31" t="inlineStr">
        <is>
          <t>Other</t>
        </is>
      </c>
      <c r="C93" s="27" t="n"/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16" t="inlineStr">
        <is>
          <t>TOTAL TAXES</t>
        </is>
      </c>
      <c r="C94" s="17" t="n"/>
      <c r="D94" s="18">
        <f>SUM(D92:D93)</f>
        <v/>
      </c>
      <c r="E94" s="18">
        <f>SUM(E92:E93)</f>
        <v/>
      </c>
      <c r="F94" s="18">
        <f>SUM(F92:F93)</f>
        <v/>
      </c>
      <c r="G94" s="18">
        <f>SUM(G92:G93)</f>
        <v/>
      </c>
      <c r="H94" s="18">
        <f>SUM(H92:H93)</f>
        <v/>
      </c>
      <c r="I94" s="18">
        <f>SUM(I92:I93)</f>
        <v/>
      </c>
      <c r="J94" s="18">
        <f>SUM(J92:J93)</f>
        <v/>
      </c>
      <c r="K94" s="18">
        <f>SUM(K92:K93)</f>
        <v/>
      </c>
      <c r="L94" s="18">
        <f>SUM(L92:L93)</f>
        <v/>
      </c>
      <c r="M94" s="18">
        <f>SUM(M92:M93)</f>
        <v/>
      </c>
      <c r="N94" s="18">
        <f>SUM(N92:N93)</f>
        <v/>
      </c>
      <c r="O94" s="18">
        <f>SUM(O92:O93)</f>
        <v/>
      </c>
      <c r="P94" s="78" t="n"/>
      <c r="Q94" s="18">
        <f>SUM(Q92:Q93)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44" t="n"/>
      <c r="C95" s="78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78" t="n"/>
      <c r="Q95" s="44" t="n"/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16" t="inlineStr">
        <is>
          <t>TOTAL EXPENSES</t>
        </is>
      </c>
      <c r="C96" s="17" t="n"/>
      <c r="D96" s="18">
        <f>SUM(D52,D60,D68,D81,D89,D94)</f>
        <v/>
      </c>
      <c r="E96" s="18">
        <f>SUM(E52,E60,E68,E81,E89,E94)</f>
        <v/>
      </c>
      <c r="F96" s="18">
        <f>SUM(F52,F60,F68,F81,F89,F94)</f>
        <v/>
      </c>
      <c r="G96" s="18">
        <f>SUM(G52,G60,G68,G81,G89,G94)</f>
        <v/>
      </c>
      <c r="H96" s="18">
        <f>SUM(H52,H60,H68,H81,H89,H94)</f>
        <v/>
      </c>
      <c r="I96" s="18">
        <f>SUM(I52,I60,I68,I81,I89,I94)</f>
        <v/>
      </c>
      <c r="J96" s="18">
        <f>SUM(J52,J60,J68,J81,J89,J94)</f>
        <v/>
      </c>
      <c r="K96" s="18">
        <f>SUM(K52,K60,K68,K81,K89,K94)</f>
        <v/>
      </c>
      <c r="L96" s="18">
        <f>SUM(L52,L60,L68,L81,L89,L94)</f>
        <v/>
      </c>
      <c r="M96" s="18">
        <f>SUM(M52,M60,M68,M81,M89,M94)</f>
        <v/>
      </c>
      <c r="N96" s="18">
        <f>SUM(N52,N60,N68,N81,N89,N94)</f>
        <v/>
      </c>
      <c r="O96" s="18">
        <f>SUM(O52,O60,O68,O81,O89,O94)</f>
        <v/>
      </c>
      <c r="P96" s="78" t="n"/>
      <c r="Q96" s="18">
        <f>SUM(Q52,Q60,Q68,Q81,Q89,Q94)</f>
        <v/>
      </c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50" t="n"/>
      <c r="C97" s="78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78" t="n"/>
      <c r="Q97" s="42" t="n"/>
      <c r="R97" s="78" t="n"/>
      <c r="S97" s="78" t="n"/>
      <c r="T97" s="78" t="n"/>
      <c r="U97" s="78" t="n"/>
      <c r="V97" s="78" t="n"/>
      <c r="W97" s="78" t="n"/>
      <c r="X97" s="78" t="n"/>
    </row>
    <row r="98" ht="49.5" customHeight="1" s="150">
      <c r="A98" s="43" t="n"/>
      <c r="B98" s="155" t="inlineStr">
        <is>
          <t>TOTALS</t>
        </is>
      </c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5" customHeight="1" s="150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30" customHeight="1" s="150">
      <c r="A102" s="54" t="n"/>
      <c r="B102" s="55" t="inlineStr">
        <is>
          <t>DEBT</t>
        </is>
      </c>
      <c r="C102" s="57" t="inlineStr">
        <is>
          <t>CURRENT</t>
        </is>
      </c>
      <c r="D102" s="57" t="inlineStr">
        <is>
          <t>JANUARY</t>
        </is>
      </c>
      <c r="E102" s="57" t="inlineStr">
        <is>
          <t>FEBRUARY</t>
        </is>
      </c>
      <c r="F102" s="57" t="inlineStr">
        <is>
          <t>MARCH</t>
        </is>
      </c>
      <c r="G102" s="57" t="inlineStr">
        <is>
          <t>APRIL</t>
        </is>
      </c>
      <c r="H102" s="57" t="inlineStr">
        <is>
          <t>MAY</t>
        </is>
      </c>
      <c r="I102" s="57" t="inlineStr">
        <is>
          <t>JUNE</t>
        </is>
      </c>
      <c r="J102" s="57" t="inlineStr">
        <is>
          <t>JULY</t>
        </is>
      </c>
      <c r="K102" s="57" t="inlineStr">
        <is>
          <t>AUGUST</t>
        </is>
      </c>
      <c r="L102" s="57" t="inlineStr">
        <is>
          <t>SEPTEMBER</t>
        </is>
      </c>
      <c r="M102" s="57" t="inlineStr">
        <is>
          <t>OCTOBER</t>
        </is>
      </c>
      <c r="N102" s="57" t="inlineStr">
        <is>
          <t>NOVEMBER</t>
        </is>
      </c>
      <c r="O102" s="57" t="inlineStr">
        <is>
          <t>DECEMBER</t>
        </is>
      </c>
      <c r="P102" s="58" t="n"/>
      <c r="Q102" s="59" t="inlineStr">
        <is>
          <t>YTD PAID</t>
        </is>
      </c>
      <c r="R102" s="54" t="n"/>
      <c r="S102" s="54" t="n"/>
      <c r="T102" s="54" t="n"/>
      <c r="U102" s="54" t="n"/>
      <c r="V102" s="54" t="n"/>
      <c r="W102" s="54" t="n"/>
      <c r="X102" s="54" t="n"/>
      <c r="Y102" s="139" t="n"/>
      <c r="Z102" s="139" t="n"/>
    </row>
    <row r="103" ht="19.5" customHeight="1" s="150">
      <c r="A103" s="78" t="n"/>
      <c r="B103" s="61" t="inlineStr">
        <is>
          <t>IRS (Payment Plan) (Submitted Form 843 -$6700 / Next Interest)</t>
        </is>
      </c>
      <c r="C103" s="62" t="n">
        <v>57000</v>
      </c>
      <c r="D103" s="82">
        <f>C103-D63-D67</f>
        <v/>
      </c>
      <c r="E103" s="82">
        <f>D103-E63</f>
        <v/>
      </c>
      <c r="F103" s="82">
        <f>E103-F63</f>
        <v/>
      </c>
      <c r="G103" s="82">
        <f>39712</f>
        <v/>
      </c>
      <c r="H103" s="82">
        <f>G103-H63</f>
        <v/>
      </c>
      <c r="I103" s="82">
        <f>H103-I63</f>
        <v/>
      </c>
      <c r="J103" s="82">
        <f>I103-J63</f>
        <v/>
      </c>
      <c r="K103" s="82">
        <f>J103-K63</f>
        <v/>
      </c>
      <c r="L103" s="82">
        <f>K103-L63</f>
        <v/>
      </c>
      <c r="M103" s="82">
        <f>L103-M63</f>
        <v/>
      </c>
      <c r="N103" s="82">
        <f>M103-N63</f>
        <v/>
      </c>
      <c r="O103" s="82">
        <f>N103-O63</f>
        <v/>
      </c>
      <c r="P103" s="64" t="n"/>
      <c r="Q103" s="84">
        <f>Q63</f>
        <v/>
      </c>
      <c r="R103" s="66" t="n"/>
      <c r="S103" s="78" t="n"/>
      <c r="T103" s="78" t="n"/>
      <c r="U103" s="78" t="n"/>
      <c r="V103" s="78" t="n"/>
      <c r="W103" s="78" t="n"/>
      <c r="X103" s="78" t="n"/>
    </row>
    <row r="104" ht="19.5" customHeight="1" s="150">
      <c r="A104" s="78" t="n"/>
      <c r="B104" s="31" t="inlineStr">
        <is>
          <t>Loans (Collections) (Payment on 30th Each Month)</t>
        </is>
      </c>
      <c r="C104" s="62" t="n">
        <v>8500</v>
      </c>
      <c r="D104" s="82">
        <f>C104-D65</f>
        <v/>
      </c>
      <c r="E104" s="82">
        <f>D104-E65</f>
        <v/>
      </c>
      <c r="F104" s="82">
        <f>E104-F65</f>
        <v/>
      </c>
      <c r="G104" s="82">
        <f>F104-G65</f>
        <v/>
      </c>
      <c r="H104" s="82">
        <f>G104-H65</f>
        <v/>
      </c>
      <c r="I104" s="82" t="n">
        <v>6300</v>
      </c>
      <c r="J104" s="82" t="n">
        <v>0</v>
      </c>
      <c r="K104" s="82" t="n">
        <v>0</v>
      </c>
      <c r="L104" s="82" t="n">
        <v>0</v>
      </c>
      <c r="M104" s="82" t="n">
        <v>0</v>
      </c>
      <c r="N104" s="82" t="n">
        <v>0</v>
      </c>
      <c r="O104" s="82" t="n">
        <v>0</v>
      </c>
      <c r="P104" s="64" t="n"/>
      <c r="Q104" s="84">
        <f>Q64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Orion 59 (Collections) (Payment on 30th Each Month)</t>
        </is>
      </c>
      <c r="C105" s="62" t="n">
        <v>2200</v>
      </c>
      <c r="D105" s="82">
        <f>C105-D66</f>
        <v/>
      </c>
      <c r="E105" s="82">
        <f>D105-E66</f>
        <v/>
      </c>
      <c r="F105" s="82">
        <f>E105-F66</f>
        <v/>
      </c>
      <c r="G105" s="82">
        <f>F105-G66</f>
        <v/>
      </c>
      <c r="H105" s="82">
        <f>G105-H66</f>
        <v/>
      </c>
      <c r="I105" s="82">
        <f>H105-I66</f>
        <v/>
      </c>
      <c r="J105" s="82">
        <f>I105-J66</f>
        <v/>
      </c>
      <c r="K105" s="82">
        <f>J105-K66</f>
        <v/>
      </c>
      <c r="L105" s="82">
        <f>K105-L66</f>
        <v/>
      </c>
      <c r="M105" s="82">
        <f>L105-M66</f>
        <v/>
      </c>
      <c r="N105" s="82">
        <f>M105-N66</f>
        <v/>
      </c>
      <c r="O105" s="82">
        <f>N105-O66</f>
        <v/>
      </c>
      <c r="P105" s="64" t="n"/>
      <c r="Q105" s="84">
        <f>Q66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31" t="inlineStr">
        <is>
          <t>Secured Loan (Build Credit)</t>
        </is>
      </c>
      <c r="C106" s="62" t="n">
        <v>0</v>
      </c>
      <c r="D106" s="82" t="n">
        <v>0</v>
      </c>
      <c r="E106" s="82" t="n">
        <v>0</v>
      </c>
      <c r="F106" s="82" t="n">
        <v>0</v>
      </c>
      <c r="G106" s="82" t="n">
        <v>0</v>
      </c>
      <c r="H106" s="82" t="n">
        <v>0</v>
      </c>
      <c r="I106" s="82" t="n">
        <v>0</v>
      </c>
      <c r="J106" s="82" t="n">
        <v>0</v>
      </c>
      <c r="K106" s="82" t="n">
        <v>0</v>
      </c>
      <c r="L106" s="82" t="n">
        <v>0</v>
      </c>
      <c r="M106" s="82" t="n">
        <v>0</v>
      </c>
      <c r="N106" s="82" t="n">
        <v>0</v>
      </c>
      <c r="O106" s="82" t="n">
        <v>0</v>
      </c>
      <c r="P106" s="64" t="n"/>
      <c r="Q106" s="84">
        <f>Q67</f>
        <v/>
      </c>
      <c r="R106" s="66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6" t="n"/>
      <c r="C107" s="68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0" t="n"/>
      <c r="Q107" s="71" t="n"/>
      <c r="R107" s="78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2" t="inlineStr">
        <is>
          <t>TOTAL DEBT</t>
        </is>
      </c>
      <c r="C108" s="73">
        <f>sum(C103:C105)</f>
        <v/>
      </c>
      <c r="D108" s="73">
        <f>sum(D103:D105)</f>
        <v/>
      </c>
      <c r="E108" s="73">
        <f>sum(E103:E105)</f>
        <v/>
      </c>
      <c r="F108" s="73">
        <f>sum(F103:F105)</f>
        <v/>
      </c>
      <c r="G108" s="73">
        <f>sum(G103:G105)</f>
        <v/>
      </c>
      <c r="H108" s="73">
        <f>sum(H103:H105)</f>
        <v/>
      </c>
      <c r="I108" s="73">
        <f>sum(I103:I105)</f>
        <v/>
      </c>
      <c r="J108" s="73">
        <f>sum(J103:J106)</f>
        <v/>
      </c>
      <c r="K108" s="73">
        <f>sum(K103:K106)</f>
        <v/>
      </c>
      <c r="L108" s="73">
        <f>sum(L103:L106)</f>
        <v/>
      </c>
      <c r="M108" s="73">
        <f>sum(M103:M106)</f>
        <v/>
      </c>
      <c r="N108" s="73">
        <f>sum(N103:N106)</f>
        <v/>
      </c>
      <c r="O108" s="73">
        <f>sum(O103:O106)</f>
        <v/>
      </c>
      <c r="P108" s="74" t="n"/>
      <c r="Q108" s="75">
        <f>SUM(Q103:Q105)</f>
        <v/>
      </c>
      <c r="R108" s="66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/>
      <c r="B109" s="76" t="n"/>
      <c r="C109" s="68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7" t="n"/>
      <c r="Q109" s="71" t="n"/>
      <c r="R109" s="78" t="n"/>
      <c r="S109" s="78" t="n"/>
      <c r="T109" s="78" t="n"/>
      <c r="U109" s="78" t="n"/>
      <c r="V109" s="78" t="n"/>
      <c r="W109" s="78" t="n"/>
      <c r="X109" s="78" t="n"/>
    </row>
    <row r="110" ht="30" customHeight="1" s="150">
      <c r="A110" s="54" t="n"/>
      <c r="B110" s="55" t="inlineStr">
        <is>
          <t>ASSETS</t>
        </is>
      </c>
      <c r="C110" s="57" t="inlineStr">
        <is>
          <t>CURRENT</t>
        </is>
      </c>
      <c r="D110" s="57" t="inlineStr">
        <is>
          <t>JANUARY</t>
        </is>
      </c>
      <c r="E110" s="57" t="inlineStr">
        <is>
          <t>FEBRUARY</t>
        </is>
      </c>
      <c r="F110" s="57" t="inlineStr">
        <is>
          <t>MARCH</t>
        </is>
      </c>
      <c r="G110" s="57" t="inlineStr">
        <is>
          <t>APRIL</t>
        </is>
      </c>
      <c r="H110" s="57" t="inlineStr">
        <is>
          <t>MAY</t>
        </is>
      </c>
      <c r="I110" s="57" t="inlineStr">
        <is>
          <t>JUNE</t>
        </is>
      </c>
      <c r="J110" s="57" t="inlineStr">
        <is>
          <t>JULY</t>
        </is>
      </c>
      <c r="K110" s="57" t="inlineStr">
        <is>
          <t>AUGUST</t>
        </is>
      </c>
      <c r="L110" s="57" t="inlineStr">
        <is>
          <t>SEPTEMBER</t>
        </is>
      </c>
      <c r="M110" s="57" t="inlineStr">
        <is>
          <t>OCTOBER</t>
        </is>
      </c>
      <c r="N110" s="57" t="inlineStr">
        <is>
          <t>NOVEMBER</t>
        </is>
      </c>
      <c r="O110" s="57" t="inlineStr">
        <is>
          <t>DECEMBER</t>
        </is>
      </c>
      <c r="P110" s="58" t="n"/>
      <c r="Q110" s="59" t="inlineStr">
        <is>
          <t>YTD GAIN</t>
        </is>
      </c>
      <c r="R110" s="54" t="n"/>
      <c r="S110" s="54" t="n"/>
      <c r="T110" s="54" t="n"/>
      <c r="U110" s="54" t="n"/>
      <c r="V110" s="54" t="n"/>
      <c r="W110" s="54" t="n"/>
      <c r="X110" s="54" t="n"/>
      <c r="Y110" s="139" t="n"/>
      <c r="Z110" s="139" t="n"/>
    </row>
    <row r="111" ht="19.5" customHeight="1" s="150">
      <c r="A111" s="78" t="n"/>
      <c r="B111" s="61" t="inlineStr">
        <is>
          <t>Trading Cards</t>
        </is>
      </c>
      <c r="C111" s="62" t="n">
        <v>15000</v>
      </c>
      <c r="D111" s="82" t="n">
        <v>15000</v>
      </c>
      <c r="E111" s="82" t="n">
        <v>15000</v>
      </c>
      <c r="F111" s="82" t="n">
        <v>15000</v>
      </c>
      <c r="G111" s="82" t="n">
        <v>20000</v>
      </c>
      <c r="H111" s="82" t="n">
        <v>25000</v>
      </c>
      <c r="I111" s="82" t="n">
        <v>25000</v>
      </c>
      <c r="J111" s="82" t="n">
        <v>25000</v>
      </c>
      <c r="K111" s="82" t="n">
        <v>25000</v>
      </c>
      <c r="L111" s="82" t="n">
        <v>25000</v>
      </c>
      <c r="M111" s="82" t="n">
        <v>25000</v>
      </c>
      <c r="N111" s="82" t="n">
        <v>25000</v>
      </c>
      <c r="O111" s="82" t="n">
        <v>25000</v>
      </c>
      <c r="P111" s="83" t="n"/>
      <c r="Q111" s="84">
        <f>O111-C111</f>
        <v/>
      </c>
      <c r="R111" s="66" t="n"/>
      <c r="S111" s="78" t="n"/>
      <c r="T111" s="78" t="n"/>
      <c r="U111" s="78" t="n"/>
      <c r="V111" s="78" t="n"/>
      <c r="W111" s="78" t="n"/>
      <c r="X111" s="78" t="n"/>
    </row>
    <row r="112" ht="19.5" customHeight="1" s="150">
      <c r="A112" s="78" t="n"/>
      <c r="B112" s="61" t="inlineStr">
        <is>
          <t>Vinyls</t>
        </is>
      </c>
      <c r="C112" s="62" t="n">
        <v>15000</v>
      </c>
      <c r="D112" s="82" t="n">
        <v>15000</v>
      </c>
      <c r="E112" s="82" t="n">
        <v>15000</v>
      </c>
      <c r="F112" s="82" t="n">
        <v>15000</v>
      </c>
      <c r="G112" s="82" t="n">
        <v>20000</v>
      </c>
      <c r="H112" s="82" t="n">
        <v>25000</v>
      </c>
      <c r="I112" s="82" t="n">
        <v>25000</v>
      </c>
      <c r="J112" s="82" t="n">
        <v>25000</v>
      </c>
      <c r="K112" s="82" t="n">
        <v>25000</v>
      </c>
      <c r="L112" s="82" t="n">
        <v>25000</v>
      </c>
      <c r="M112" s="82" t="n">
        <v>25000</v>
      </c>
      <c r="N112" s="82" t="n">
        <v>25000</v>
      </c>
      <c r="O112" s="82" t="n">
        <v>25000</v>
      </c>
      <c r="P112" s="83" t="n"/>
      <c r="Q112" s="84">
        <f>O112-C112</f>
        <v/>
      </c>
      <c r="R112" s="66" t="n"/>
      <c r="S112" s="78" t="n"/>
      <c r="T112" s="78" t="n"/>
      <c r="U112" s="78" t="n"/>
      <c r="V112" s="78" t="n"/>
      <c r="W112" s="78" t="n"/>
      <c r="X112" s="78" t="n"/>
    </row>
    <row r="113" ht="19.5" customHeight="1" s="150">
      <c r="A113" s="78" t="n"/>
      <c r="B113" s="85" t="inlineStr">
        <is>
          <t>Gold/Silver (Liquidating)</t>
        </is>
      </c>
      <c r="C113" s="62" t="n">
        <v>6000</v>
      </c>
      <c r="D113" s="86" t="n">
        <v>6600</v>
      </c>
      <c r="E113" s="86" t="n">
        <v>6600</v>
      </c>
      <c r="F113" s="86" t="n">
        <v>6600</v>
      </c>
      <c r="G113" s="86" t="n">
        <v>4000</v>
      </c>
      <c r="H113" s="86" t="n">
        <v>4000</v>
      </c>
      <c r="I113" s="104" t="n">
        <v>4000</v>
      </c>
      <c r="J113" s="86" t="n">
        <v>4000</v>
      </c>
      <c r="K113" s="86" t="n">
        <v>4000</v>
      </c>
      <c r="L113" s="86" t="n">
        <v>4000</v>
      </c>
      <c r="M113" s="86" t="n">
        <v>4000</v>
      </c>
      <c r="N113" s="86" t="n">
        <v>4000</v>
      </c>
      <c r="O113" s="86" t="n">
        <v>4000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85" t="inlineStr">
        <is>
          <t>Cash</t>
        </is>
      </c>
      <c r="C114" s="62" t="n">
        <v>1600</v>
      </c>
      <c r="D114" s="82">
        <f>C114+D11</f>
        <v/>
      </c>
      <c r="E114" s="82">
        <f>D114+E11</f>
        <v/>
      </c>
      <c r="F114" s="82">
        <f>E114+F11</f>
        <v/>
      </c>
      <c r="G114" s="82" t="n">
        <v>3500</v>
      </c>
      <c r="H114" s="82" t="n">
        <v>4000</v>
      </c>
      <c r="I114" s="105" t="n">
        <v>4600</v>
      </c>
      <c r="J114" s="82">
        <f>I114+J11</f>
        <v/>
      </c>
      <c r="K114" s="82">
        <f>J114+K11</f>
        <v/>
      </c>
      <c r="L114" s="82">
        <f>K114+L11</f>
        <v/>
      </c>
      <c r="M114" s="82">
        <f>L114+M11</f>
        <v/>
      </c>
      <c r="N114" s="82">
        <f>M114+N11</f>
        <v/>
      </c>
      <c r="O114" s="82">
        <f>N114+O11</f>
        <v/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 xml:space="preserve">Robinhood </t>
        </is>
      </c>
      <c r="C115" s="62" t="n">
        <v>1800</v>
      </c>
      <c r="D115" s="82" t="n">
        <v>2600</v>
      </c>
      <c r="E115" s="82" t="n">
        <v>1000</v>
      </c>
      <c r="F115" s="82" t="n">
        <v>0</v>
      </c>
      <c r="G115" s="82" t="n">
        <v>0</v>
      </c>
      <c r="H115" s="82" t="n">
        <v>0</v>
      </c>
      <c r="I115" s="82" t="n">
        <v>0</v>
      </c>
      <c r="J115" s="82" t="n">
        <v>0</v>
      </c>
      <c r="K115" s="82" t="n">
        <v>0</v>
      </c>
      <c r="L115" s="100" t="n">
        <v>0</v>
      </c>
      <c r="M115" s="100" t="n">
        <v>0</v>
      </c>
      <c r="N115" s="100" t="n">
        <v>0</v>
      </c>
      <c r="O115" s="100" t="n">
        <v>0</v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>401k (TRMB)</t>
        </is>
      </c>
      <c r="C116" s="62" t="n">
        <v>12000</v>
      </c>
      <c r="D116" s="82" t="n">
        <v>12100</v>
      </c>
      <c r="E116" s="82">
        <f>D116+E33</f>
        <v/>
      </c>
      <c r="F116" s="82" t="n">
        <v>10000</v>
      </c>
      <c r="G116" s="82" t="n">
        <v>15000</v>
      </c>
      <c r="H116" s="82" t="n">
        <v>14000</v>
      </c>
      <c r="I116" s="82" t="n">
        <v>2000</v>
      </c>
      <c r="J116" s="82" t="n">
        <v>2000</v>
      </c>
      <c r="K116" s="82" t="n">
        <v>2000</v>
      </c>
      <c r="L116" s="82" t="n">
        <v>2000</v>
      </c>
      <c r="M116" s="82" t="n">
        <v>2000</v>
      </c>
      <c r="N116" s="82" t="n">
        <v>2000</v>
      </c>
      <c r="O116" s="82" t="n">
        <v>2000</v>
      </c>
      <c r="P116" s="83" t="n"/>
      <c r="Q116" s="84">
        <f>O116-C116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>401k (BorkerageLink)</t>
        </is>
      </c>
      <c r="C117" s="62" t="n">
        <v>9000</v>
      </c>
      <c r="D117" s="82" t="n">
        <v>9750</v>
      </c>
      <c r="E117" s="82">
        <f>D117+E32+($D$14*0.04)</f>
        <v/>
      </c>
      <c r="F117" s="82" t="n">
        <v>9200</v>
      </c>
      <c r="G117" s="82" t="n">
        <v>15000</v>
      </c>
      <c r="H117" s="82" t="n">
        <v>14000</v>
      </c>
      <c r="I117" s="82" t="n">
        <v>6500</v>
      </c>
      <c r="J117" s="82" t="n">
        <v>6500</v>
      </c>
      <c r="K117" s="82" t="n">
        <v>6500</v>
      </c>
      <c r="L117" s="82" t="n">
        <v>6500</v>
      </c>
      <c r="M117" s="82" t="n">
        <v>6500</v>
      </c>
      <c r="N117" s="82" t="n">
        <v>6500</v>
      </c>
      <c r="O117" s="82" t="n">
        <v>6500</v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87" t="n">
        <v>75</v>
      </c>
      <c r="B118" s="85" t="inlineStr">
        <is>
          <t>Car</t>
        </is>
      </c>
      <c r="C118" s="62" t="n">
        <v>3000</v>
      </c>
      <c r="D118" s="82">
        <f>C118-$A$118</f>
        <v/>
      </c>
      <c r="E118" s="82">
        <f>D118-$A$118</f>
        <v/>
      </c>
      <c r="F118" s="82">
        <f>E118-$A$118</f>
        <v/>
      </c>
      <c r="G118" s="82">
        <f>F118-$A$118</f>
        <v/>
      </c>
      <c r="H118" s="82">
        <f>G118-$A$118</f>
        <v/>
      </c>
      <c r="I118" s="82">
        <f>H118-$A$118</f>
        <v/>
      </c>
      <c r="J118" s="82" t="n">
        <v>0</v>
      </c>
      <c r="K118" s="82" t="n">
        <v>0</v>
      </c>
      <c r="L118" s="82" t="n">
        <v>0</v>
      </c>
      <c r="M118" s="82" t="n">
        <v>0</v>
      </c>
      <c r="N118" s="82" t="n">
        <v>0</v>
      </c>
      <c r="O118" s="82" t="n">
        <v>0</v>
      </c>
      <c r="P118" s="83" t="n"/>
      <c r="Q118" s="84" t="n">
        <v>-500</v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78" t="n"/>
      <c r="B119" s="85" t="inlineStr">
        <is>
          <t>Other</t>
        </is>
      </c>
      <c r="C119" s="62" t="n">
        <v>0</v>
      </c>
      <c r="D119" s="82" t="n">
        <v>0</v>
      </c>
      <c r="E119" s="82" t="n">
        <v>0</v>
      </c>
      <c r="F119" s="82" t="n">
        <v>0</v>
      </c>
      <c r="G119" s="82" t="n">
        <v>0</v>
      </c>
      <c r="H119" s="82" t="n">
        <v>0</v>
      </c>
      <c r="I119" s="82" t="n">
        <v>0</v>
      </c>
      <c r="J119" s="82" t="n">
        <v>0</v>
      </c>
      <c r="K119" s="82" t="n">
        <v>0</v>
      </c>
      <c r="L119" s="82" t="n">
        <v>0</v>
      </c>
      <c r="M119" s="82" t="n">
        <v>0</v>
      </c>
      <c r="N119" s="82" t="n">
        <v>0</v>
      </c>
      <c r="O119" s="82" t="n">
        <v>0</v>
      </c>
      <c r="P119" s="83" t="n"/>
      <c r="Q119" s="84" t="n">
        <v>0</v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78" t="n"/>
      <c r="B120" s="76" t="n"/>
      <c r="C120" s="6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9" t="n"/>
      <c r="Q120" s="90" t="n"/>
      <c r="R120" s="78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72" t="inlineStr">
        <is>
          <t>TOTAL ASSETS</t>
        </is>
      </c>
      <c r="C121" s="73">
        <f>sum(C111:C119)</f>
        <v/>
      </c>
      <c r="D121" s="73">
        <f>sum(D111:D119)</f>
        <v/>
      </c>
      <c r="E121" s="73">
        <f>sum(E111:E119)</f>
        <v/>
      </c>
      <c r="F121" s="73">
        <f>sum(F111:F117)</f>
        <v/>
      </c>
      <c r="G121" s="73">
        <f>sum(G111:G119)</f>
        <v/>
      </c>
      <c r="H121" s="73">
        <f>sum(H111:H119)</f>
        <v/>
      </c>
      <c r="I121" s="73">
        <f>sum(I111:I119)</f>
        <v/>
      </c>
      <c r="J121" s="73">
        <f>sum(J111:J119)</f>
        <v/>
      </c>
      <c r="K121" s="73">
        <f>sum(K111:K119)</f>
        <v/>
      </c>
      <c r="L121" s="73">
        <f>sum(L111:L119)</f>
        <v/>
      </c>
      <c r="M121" s="73">
        <f>sum(M111:M119)</f>
        <v/>
      </c>
      <c r="N121" s="73">
        <f>sum(N111:N119)</f>
        <v/>
      </c>
      <c r="O121" s="73">
        <f>Sum(O111:O119)</f>
        <v/>
      </c>
      <c r="P121" s="91" t="n"/>
      <c r="Q121" s="75">
        <f>SUM(Q111:Q120)</f>
        <v/>
      </c>
      <c r="R121" s="66" t="n"/>
      <c r="S121" s="78" t="n"/>
      <c r="T121" s="78" t="n"/>
      <c r="U121" s="78" t="n"/>
      <c r="V121" s="78" t="n"/>
      <c r="W121" s="78" t="n"/>
      <c r="X121" s="78" t="n"/>
    </row>
    <row r="122" ht="15" customHeight="1" s="150">
      <c r="A122" s="78" t="n"/>
      <c r="B122" s="78" t="n"/>
      <c r="C122" s="78" t="n"/>
      <c r="D122" s="78" t="n"/>
      <c r="E122" s="78" t="n"/>
      <c r="F122" s="78" t="n"/>
      <c r="G122" s="78" t="n"/>
      <c r="H122" s="78" t="n"/>
      <c r="I122" s="78" t="n"/>
      <c r="J122" s="78" t="n"/>
      <c r="K122" s="78" t="n"/>
      <c r="L122" s="78" t="n"/>
      <c r="M122" s="78" t="n"/>
      <c r="N122" s="78" t="n"/>
      <c r="O122" s="78" t="n"/>
      <c r="P122" s="78" t="n"/>
      <c r="Q122" s="78" t="n"/>
      <c r="R122" s="78" t="n"/>
      <c r="S122" s="78" t="n"/>
      <c r="T122" s="78" t="n"/>
      <c r="U122" s="78" t="n"/>
      <c r="V122" s="78" t="n"/>
      <c r="W122" s="78" t="n"/>
      <c r="X122" s="78" t="n"/>
    </row>
    <row r="123" ht="15" customHeight="1" s="150">
      <c r="A123" s="78" t="n"/>
      <c r="B123" s="72" t="inlineStr">
        <is>
          <t>FICO 8 Credit Score</t>
        </is>
      </c>
      <c r="C123" s="92" t="n">
        <v>584</v>
      </c>
      <c r="D123" s="92" t="n">
        <v>595</v>
      </c>
      <c r="E123" s="92" t="n">
        <v>584</v>
      </c>
      <c r="F123" s="92" t="n">
        <v>605</v>
      </c>
      <c r="G123" s="92" t="n">
        <v>605</v>
      </c>
      <c r="H123" s="92" t="n">
        <v>605</v>
      </c>
      <c r="I123" s="92" t="n">
        <v>611</v>
      </c>
      <c r="J123" s="92" t="n">
        <v>617</v>
      </c>
      <c r="K123" s="92" t="n">
        <v>680</v>
      </c>
      <c r="L123" s="92" t="n">
        <v>680</v>
      </c>
      <c r="M123" s="92" t="n">
        <v>680</v>
      </c>
      <c r="N123" s="92" t="n">
        <v>680</v>
      </c>
      <c r="O123" s="92" t="n">
        <v>680</v>
      </c>
      <c r="P123" s="91" t="n"/>
      <c r="Q123" s="92" t="n">
        <v>617</v>
      </c>
      <c r="R123" s="78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8" t="n"/>
      <c r="C125" s="78" t="n"/>
      <c r="D125" s="78" t="n"/>
      <c r="E125" s="78" t="n"/>
      <c r="F125" s="78" t="n"/>
      <c r="G125" s="78" t="n"/>
      <c r="H125" s="78" t="n"/>
      <c r="I125" s="78" t="n"/>
      <c r="J125" s="78" t="n"/>
      <c r="K125" s="78" t="n"/>
      <c r="L125" s="78" t="n"/>
      <c r="M125" s="78" t="n"/>
      <c r="N125" s="78" t="n"/>
      <c r="O125" s="78" t="n"/>
      <c r="P125" s="78" t="n"/>
      <c r="Q125" s="78" t="n"/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93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78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.75" customHeight="1" s="150"/>
    <row r="305" ht="15.75" customHeight="1" s="150"/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</sheetData>
  <mergeCells count="5">
    <mergeCell ref="B6:C6"/>
    <mergeCell ref="B2:C2"/>
    <mergeCell ref="B98:Q98"/>
    <mergeCell ref="B3:C3"/>
    <mergeCell ref="B5:C5"/>
  </mergeCells>
  <conditionalFormatting sqref="D9:O11 D39:O96 D102:O106 D109:O112 D114:O119 Q39:Q41">
    <cfRule type="cellIs" priority="1" operator="lessThan" dxfId="0">
      <formula>0</formula>
    </cfRule>
  </conditionalFormatting>
  <conditionalFormatting sqref="D14:O19">
    <cfRule type="cellIs" priority="2" operator="lessThan" dxfId="0">
      <formula>0</formula>
    </cfRule>
  </conditionalFormatting>
  <conditionalFormatting sqref="D22:O27">
    <cfRule type="cellIs" priority="3" operator="lessThan" dxfId="0">
      <formula>0</formula>
    </cfRule>
  </conditionalFormatting>
  <conditionalFormatting sqref="D29:O29 Q29">
    <cfRule type="cellIs" priority="4" operator="lessThan" dxfId="0">
      <formula>0</formula>
    </cfRule>
  </conditionalFormatting>
  <conditionalFormatting sqref="C41 D32:O37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19 Q32:Q37 Q55:Q61 Q84:Q90 Q92:Q96">
    <cfRule type="cellIs" priority="7" operator="lessThan" dxfId="0">
      <formula>0</formula>
    </cfRule>
  </conditionalFormatting>
  <conditionalFormatting sqref="Q22:Q27">
    <cfRule type="cellIs" priority="8" operator="lessThan" dxfId="0">
      <formula>0</formula>
    </cfRule>
  </conditionalFormatting>
  <conditionalFormatting sqref="Q43:Q53">
    <cfRule type="cellIs" priority="9" operator="lessThan" dxfId="0">
      <formula>0</formula>
    </cfRule>
  </conditionalFormatting>
  <conditionalFormatting sqref="Q63:Q69 Q71:Q82 Q102:Q121">
    <cfRule type="cellIs" priority="10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2026-07-07T23:50:48Z</dcterms:created>
  <dcterms:modified xmlns:dcterms="http://purl.org/dc/terms/" xmlns:xsi="http://www.w3.org/2001/XMLSchema-instance" xsi:type="dcterms:W3CDTF">2026-07-07T23:50:50Z</dcterms:modified>
</cp:coreProperties>
</file>